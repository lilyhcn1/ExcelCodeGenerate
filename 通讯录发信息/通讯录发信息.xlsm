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45" windowHeight="10365" activeTab="1"/>
  </bookViews>
  <sheets>
    <sheet name="通讯录" sheetId="12" r:id="rId1"/>
    <sheet name="发送消息主文件" sheetId="13" r:id="rId2"/>
    <sheet name="密码区" sheetId="11" r:id="rId3"/>
    <sheet name="常用代码" sheetId="14" r:id="rId4"/>
  </sheets>
  <definedNames>
    <definedName name="ExternalData_1000" localSheetId="0">通讯录!$A$1:$H$1</definedName>
    <definedName name="ExternalData_1001" localSheetId="0">通讯录!$A$1:$H$1</definedName>
    <definedName name="ExternalData_1002" localSheetId="0">通讯录!$A$1:$G$1</definedName>
    <definedName name="ExternalData_1003" localSheetId="0">通讯录!#REF!</definedName>
    <definedName name="ExternalData_1004" localSheetId="0">通讯录!$A$1:$F$1</definedName>
    <definedName name="ExternalData_1005" localSheetId="0">通讯录!$A$1:$H$1</definedName>
    <definedName name="ExternalData_1006" localSheetId="0">通讯录!$A$1:$H$1</definedName>
    <definedName name="ExternalData_1007" localSheetId="0">通讯录!$A$1:$F$1</definedName>
    <definedName name="ExternalData_1008" localSheetId="0">通讯录!#REF!</definedName>
    <definedName name="ExternalData_1009" localSheetId="0">通讯录!$A$1:$H$1</definedName>
    <definedName name="ExternalData_1010" localSheetId="0">通讯录!$A$1:$H$1</definedName>
    <definedName name="ExternalData_1011" localSheetId="0">通讯录!$A$1:$H$1</definedName>
    <definedName name="ExternalData_1012" localSheetId="0">通讯录!$A$1:$AP$2</definedName>
    <definedName name="ExternalData_1013" localSheetId="0">通讯录!$A$1:$AP$2</definedName>
    <definedName name="ExternalData_1014" localSheetId="0">通讯录!$A$1:$G$2</definedName>
    <definedName name="ExternalData_1015" localSheetId="0">通讯录!$A$1:$AP$2</definedName>
    <definedName name="ExternalData_1016" localSheetId="0">通讯录!$A$1:$H$2</definedName>
    <definedName name="ExternalData_1017" localSheetId="0">通讯录!$A$1:$H$2</definedName>
    <definedName name="ExternalData_1018" localSheetId="0">通讯录!$A$1:$H$2</definedName>
    <definedName name="ExternalData_1019" localSheetId="0">通讯录!$A$1:$H$2</definedName>
    <definedName name="ExternalData_1020" localSheetId="0">通讯录!$A$1:$H$2</definedName>
    <definedName name="ExternalData_989" localSheetId="0">通讯录!$A$1:$H$1</definedName>
    <definedName name="ExternalData_990" localSheetId="0">通讯录!$A$1:$H$1</definedName>
    <definedName name="ExternalData_991" localSheetId="0">通讯录!$A$1:$H$1</definedName>
    <definedName name="ExternalData_992" localSheetId="0">通讯录!$A$1:$A$1</definedName>
    <definedName name="ExternalData_993" localSheetId="0">通讯录!#REF!</definedName>
    <definedName name="ExternalData_994" localSheetId="0">通讯录!$A$1:$H$1</definedName>
    <definedName name="ExternalData_995" localSheetId="0">通讯录!$A$1:$H$1</definedName>
    <definedName name="ExternalData_996" localSheetId="0">通讯录!$A$1:$H$1</definedName>
    <definedName name="ExternalData_997" localSheetId="0">通讯录!$A$1:$H$1</definedName>
    <definedName name="ExternalData_998" localSheetId="0">通讯录!$A$1:$H$1</definedName>
    <definedName name="ExternalData_999" localSheetId="0">通讯录!$A$1:$H$1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C3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C4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/>
  </connection>
  <connection id="2" name="连接1" type="4" background="1" refreshedVersion="2" deleted="1" saveData="1">
    <webPr parsePre="1" consecutive="1" xl2000="1" htmlFormat="all" htmlTables="1"/>
  </connection>
  <connection id="3" name="连接2" type="4" background="1" refreshedVersion="2" deleted="1" saveData="1">
    <webPr parsePre="1" consecutive="1" xl2000="1" htmlFormat="all" htmlTables="1"/>
  </connection>
  <connection id="4" name="连接3" type="4" background="1" refreshedVersion="2" deleted="1" saveData="1">
    <webPr parsePre="1" consecutive="1" xl2000="1" htmlFormat="all" htmlTables="1"/>
  </connection>
  <connection id="5" name="连接4" type="4" background="1" refreshedVersion="2" deleted="1" saveData="1">
    <webPr parsePre="1" consecutive="1" xl2000="1" htmlFormat="all" htmlTables="1"/>
  </connection>
  <connection id="6" name="连接5" type="4" background="1" refreshedVersion="2" deleted="1" saveData="1">
    <webPr parsePre="1" consecutive="1" xl2000="1" htmlFormat="all" htmlTables="1"/>
  </connection>
  <connection id="7" name="连接6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<sst xmlns="http://schemas.openxmlformats.org/spreadsheetml/2006/main" count="130" uniqueCount="112">
  <si>
    <t>姓名</t>
  </si>
  <si>
    <t>工号</t>
  </si>
  <si>
    <t>手机长号</t>
  </si>
  <si>
    <t>手机短号</t>
  </si>
  <si>
    <t>QQ</t>
  </si>
  <si>
    <t>邮箱</t>
  </si>
  <si>
    <t>微信</t>
  </si>
  <si>
    <t>职称</t>
  </si>
  <si>
    <t>小黄牛</t>
  </si>
  <si>
    <t>黄牛小号</t>
  </si>
  <si>
    <t>d111</t>
  </si>
  <si>
    <t>王思源</t>
  </si>
  <si>
    <t>2518735972@qq.com</t>
  </si>
  <si>
    <t>老黄牛小号</t>
  </si>
  <si>
    <t>老黄牛</t>
  </si>
  <si>
    <t>初始内容</t>
  </si>
  <si>
    <t>底部代码</t>
  </si>
  <si>
    <t>微信发消息</t>
  </si>
  <si>
    <t>执行VBS.vbs</t>
  </si>
  <si>
    <t>请先维护好通讯录，并在A列填上你要发送的对象，K列为要发送的内容。
所有代码都非常简单，可在常用代码区自行维护。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</si>
  <si>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</si>
  <si>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</si>
  <si>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</si>
  <si>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</si>
  <si>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</si>
  <si>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</si>
  <si>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</si>
  <si>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</si>
  <si>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</si>
  <si>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</si>
  <si>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</si>
  <si>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</si>
  <si>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</si>
  <si>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</si>
  <si>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</si>
  <si>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短号</t>
  </si>
  <si>
    <t>钉钉</t>
  </si>
  <si>
    <t>发送文本</t>
  </si>
  <si>
    <t>老师，您好。这是测试短信</t>
  </si>
  <si>
    <t>参数51</t>
  </si>
  <si>
    <t>数据表名</t>
  </si>
  <si>
    <t>参数52</t>
  </si>
  <si>
    <t>显示字段</t>
  </si>
  <si>
    <t>参数53</t>
  </si>
  <si>
    <t>查看密码</t>
  </si>
  <si>
    <t>参数54</t>
  </si>
  <si>
    <t>上传密码</t>
  </si>
  <si>
    <t>参数55</t>
  </si>
  <si>
    <t>用户名</t>
  </si>
  <si>
    <t>参数56</t>
  </si>
  <si>
    <t>用户密码</t>
  </si>
  <si>
    <t>参数57</t>
  </si>
  <si>
    <t>查询网址</t>
  </si>
  <si>
    <t>参数58</t>
  </si>
  <si>
    <t>参数59</t>
  </si>
  <si>
    <t>高校通的帐号密码，我只在浙江测试</t>
  </si>
  <si>
    <t>参数60</t>
  </si>
  <si>
    <t>高校通用户名</t>
  </si>
  <si>
    <t>参数61</t>
  </si>
  <si>
    <t>高校通密码</t>
  </si>
  <si>
    <t>参数62</t>
  </si>
  <si>
    <t>参数63</t>
  </si>
  <si>
    <t>邮箱必须支持smtp，我用163的邮箱</t>
  </si>
  <si>
    <t>参数64</t>
  </si>
  <si>
    <t>邮箱帐号</t>
  </si>
  <si>
    <t>参数65</t>
  </si>
  <si>
    <t>邮箱密码</t>
  </si>
  <si>
    <t>参数66</t>
  </si>
  <si>
    <t>参数67</t>
  </si>
  <si>
    <t>参数68</t>
  </si>
  <si>
    <t>参数69</t>
  </si>
  <si>
    <t>参数70</t>
  </si>
  <si>
    <t>server酱密钥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</si>
  <si>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</si>
  <si>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</si>
  <si>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</si>
  <si>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</si>
  <si>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</si>
  <si>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</si>
  <si>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</si>
  <si>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</si>
  <si>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</si>
  <si>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</si>
  <si>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</si>
  <si>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</si>
  <si>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头部代码</t>
  </si>
  <si>
    <t>说明1</t>
  </si>
  <si>
    <t>说明2</t>
  </si>
  <si>
    <t>说明3</t>
  </si>
  <si>
    <t>高校通发短信</t>
  </si>
  <si>
    <t xml:space="preserve">rem 正在执行 参数01
Set Sh = WScript.CreateObject("WScript.Shell")
'执行发送高校通短信
Sh.Run "http://www.gxtcn.com/interface.php?action=sms&amp;operation=send&amp;schoolid=70&amp;username=参数60&amp;password=参数61&amp;servicecode=yx&amp;mobile=参数02&amp;content=参数11", 1 
WScript.Sleep 2000
set Sh=nothing </t>
  </si>
  <si>
    <t>K列为发送的内容。</t>
  </si>
  <si>
    <t>高校通发短信（先加白名单）</t>
  </si>
  <si>
    <t xml:space="preserve">rem 正在执行 参数01
Set Sh = WScript.CreateObject("WScript.Shell")
'加入白名单
Sh.Run "http://www.gxtcn.com/interface.php?action=sms&amp;operation=whitelist&amp;schoolid=70&amp;username=参数60&amp;password=参数61&amp;mobile=参数02", 1
'执行发送高校通短信
Sh.Run "http://www.gxtcn.com/interface.php?action=sms&amp;operation=send&amp;schoolid=70&amp;username=参数60&amp;password=参数61&amp;servicecode=yx&amp;mobile=参数02&amp;content=参数11", 1 
WScript.Sleep 2000
set Sh=nothing </t>
  </si>
  <si>
    <t>QQ只激活聊天窗口</t>
  </si>
  <si>
    <t xml:space="preserve">rem  ---------参数01的代码块---------
CreateObject("Wscript.Shell")
url="tencent://message/?uin=参数04&amp;Site=LG&amp;Menu=yes"
set wss=createobject("Wscript.shell")
wss.run url
</t>
  </si>
  <si>
    <t xml:space="preserve">set ws2=wscript.createobject("wscript.shell")
</t>
  </si>
  <si>
    <t>QQ发送文件（请先复制文件）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</si>
  <si>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Set ws2= Nothing
Set wss= Nothing
</t>
  </si>
  <si>
    <t>QQ发送消息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</si>
  <si>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wscript.sleep 1500
ws.sendkeys "{enter}"
Set ws= Nothing
Set ws2= Nothing
Set wss= Nothing
</t>
  </si>
  <si>
    <t>set ws2=wscript.createobject("wscript.shell")
ws2.appactivate "QQ"</t>
  </si>
  <si>
    <t>QQ弹窗才发送消息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</si>
  <si>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'判断是否发送回车
x=msgbox("是否按回车发送此信息",VbOkCancel)
if x=VbOk then
ws.sendkeys "{enter}"
elseif x=Vbcancel then
set ws2 = createobject("wscript.shell")
ws2.run  "taskkill /IM wscript.exe /F"
end if
Set ws= Nothing
Set ws2= Nothing
Set wss= Nothing
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</si>
  <si>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999
ws.sendKeys "^f"
wscript.sleep 999
ws.sendKeys "^v"
wscript.sleep 999
ws.sendKeys "{ENTER}"
wscript.sleep 555
ws.sendKeys "{TAB}"
wscript.sleep 555
ws.Run "mshta vbscript:ClipboardData.SetData("&amp;chr(34)&amp;"text"&amp;chr(34)&amp;"," &amp;Chr(34)&amp; Msg &amp;Chr(34)&amp; ")(close)",0,True
wscript.sleep 500
ws.sendKeys "^v"
wscript.sleep 300
ws.sendKeys "{ENTER}"
Set ws= Nothing</t>
  </si>
  <si>
    <t>Dim Name,Msg
set ws2=wscript.createobject("wscript.shell")
ws2.appactivate "微信"
ws2.sendKeys "^%w"
Set ws2= Nothing</t>
  </si>
  <si>
    <t>微信发文件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</si>
  <si>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500
ws.sendKeys "^f"
wscript.sleep 500
ws.sendKeys "^v"
wscript.sleep 500
ws.sendKeys "{ENTER}"
wscript.sleep 200
ws.sendKeys "{TAB}"
wscript.sleep 500
ws.sendKeys "^v"
wscript.sleep 300
ws.sendKeys "{ENTER}"
Set ws= Nothing</t>
  </si>
  <si>
    <t>邮件</t>
  </si>
  <si>
    <t xml:space="preserve">rem ----------------参数01----------------------
If Send_Mail("参数64","参数65","参数05","","参数11","参数12","参数13")=True Then 
Wscript.Echo "参数01" &amp; "发送成功" 
Else 
Wscript.Echo "参数01" &amp; "发送失败" 
End If 
</t>
  </si>
  <si>
    <t xml:space="preserve">function Send_mail(You_Account,You_Password,Send_Email,Send_Email2,Send_Topic,Send_Body,Send_Attachment)  
You_ID=Split(You_Account, "@", -1, vbTextCompare)  
'帐号和服务器分离 
MS_Space = "http://schemas.microsoft.com/cdo/configuration/" 
'这个是必须要的，不过可以放心的事，不会通过微软发送邮件 
Set Email = CreateObject("CDO.Message") 
Email.From = You_Account 
'这个一定要和发送邮件的帐号一样 
Email.To = Send_Email         '主要邮件地址 
If Send_Email2 &lt;&gt; "" Then 
Email.CC = Send_Email2        '备用邮件地址 
End If 
Email.Subject = Send_Topic        '邮件主题 
Email.Textbody = Send_Body        '邮件内容 
If Send_Attachment &lt;&gt; "" Then 
Email.AddAttachment Send_Attachment     '邮件附件 
End If 
With Email.Configuration.Fields 
.Item(MS_Space&amp;"sendusing") = 2       '发信端口 
.Item(MS_Space&amp;"smtpserver") = "smtp."&amp;You_ID(1) 'SMTP服务器地址 
.Item(MS_Space&amp;"smtpserverport") = 25     'SMTP服务器端口 
.Item(MS_Space&amp;"smtpauthenticate") = 1     'cdobasec 
.Item(MS_Space&amp;"sendusername") = You_ID(0)    '你的邮件帐号 
.Item(MS_Space&amp;"sendpassword") = You_Password   '你的邮件密码 
.Update 
End With 
Email.Send 
'发送邮件 
Set Email=Nothing 
'关闭组件 
Send_Mail=True  
'如果没有任何错误信息，则表示发送成功,否则发送失败  
If Err Then  
Err.Clear  
Send_Mail=False  
End If  
End Function 
</t>
  </si>
  <si>
    <t>参数12为邮箱，参数13为内容，参数14为附件的地址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</si>
</sst>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color theme="3" tint="0.399792474135563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333333"/>
      <name val="Arial"/>
      <charset val="134"/>
    </font>
    <font>
      <sz val="11"/>
      <color rgb="FF333333"/>
      <name val="宋体"/>
      <charset val="134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11" fillId="0" borderId="0" applyFont="0" applyFill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0" fillId="19" borderId="10" applyNumberFormat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/>
    <xf numFmtId="9" fontId="11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1" fillId="6" borderId="7" applyNumberFormat="0" applyFont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5" fillId="22" borderId="12" applyNumberFormat="0" applyAlignment="0" applyProtection="0">
      <alignment vertical="center"/>
    </xf>
    <xf numFmtId="0" fontId="21" fillId="22" borderId="10" applyNumberFormat="0" applyAlignment="0" applyProtection="0">
      <alignment vertical="center"/>
    </xf>
    <xf numFmtId="0" fontId="17" fillId="13" borderId="9" applyNumberFormat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27" fillId="0" borderId="13" applyNumberFormat="0" applyFill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4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1" xfId="0" applyNumberFormat="1" applyBorder="1" applyAlignment="1">
      <alignment horizontal="center" vertical="center" shrinkToFit="1"/>
    </xf>
    <xf numFmtId="0" fontId="1" fillId="2" borderId="2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1" fillId="0" borderId="3" xfId="0" applyNumberFormat="1" applyFont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3" fillId="0" borderId="3" xfId="0" applyNumberFormat="1" applyFon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4" fillId="0" borderId="4" xfId="10" applyNumberFormat="1" applyBorder="1" applyAlignment="1">
      <alignment vertical="center" shrinkToFit="1"/>
    </xf>
    <xf numFmtId="0" fontId="3" fillId="0" borderId="0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0" xfId="0" applyFill="1"/>
    <xf numFmtId="0" fontId="4" fillId="3" borderId="0" xfId="10" applyFill="1"/>
    <xf numFmtId="0" fontId="0" fillId="0" borderId="0" xfId="0" applyFill="1" applyBorder="1" applyAlignment="1">
      <alignment vertical="center" wrapText="1"/>
    </xf>
    <xf numFmtId="0" fontId="0" fillId="4" borderId="0" xfId="0" applyFill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shrinkToFit="1"/>
    </xf>
    <xf numFmtId="0" fontId="6" fillId="3" borderId="0" xfId="0" applyFont="1" applyFill="1" applyBorder="1" applyAlignment="1">
      <alignment vertical="center" wrapText="1"/>
    </xf>
    <xf numFmtId="0" fontId="0" fillId="5" borderId="0" xfId="0" applyFill="1" applyBorder="1" applyAlignment="1">
      <alignment vertical="top" wrapText="1"/>
    </xf>
    <xf numFmtId="0" fontId="1" fillId="4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 shrinkToFit="1"/>
    </xf>
    <xf numFmtId="0" fontId="1" fillId="4" borderId="0" xfId="0" applyFont="1" applyFill="1" applyBorder="1" applyAlignment="1">
      <alignment vertical="center" shrinkToFit="1"/>
    </xf>
    <xf numFmtId="0" fontId="0" fillId="4" borderId="0" xfId="0" applyFill="1" applyBorder="1" applyAlignment="1">
      <alignment vertical="center" shrinkToFit="1"/>
    </xf>
    <xf numFmtId="0" fontId="5" fillId="0" borderId="0" xfId="0" applyFont="1" applyFill="1" applyBorder="1" applyAlignment="1">
      <alignment vertical="center" wrapText="1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shrinkToFit="1"/>
    </xf>
    <xf numFmtId="0" fontId="7" fillId="0" borderId="5" xfId="0" applyNumberFormat="1" applyFont="1" applyFill="1" applyBorder="1" applyAlignment="1">
      <alignment horizontal="center" vertical="center" shrinkToFit="1"/>
    </xf>
    <xf numFmtId="0" fontId="8" fillId="0" borderId="5" xfId="0" applyNumberFormat="1" applyFont="1" applyFill="1" applyBorder="1" applyAlignment="1">
      <alignment horizontal="center" vertical="center" shrinkToFit="1"/>
    </xf>
    <xf numFmtId="0" fontId="7" fillId="0" borderId="5" xfId="0" applyNumberFormat="1" applyFont="1" applyBorder="1" applyAlignment="1">
      <alignment horizontal="center" vertical="center" shrinkToFit="1"/>
    </xf>
    <xf numFmtId="0" fontId="7" fillId="0" borderId="5" xfId="10" applyNumberFormat="1" applyFont="1" applyBorder="1" applyAlignment="1">
      <alignment horizontal="center" vertical="center" shrinkToFit="1"/>
    </xf>
    <xf numFmtId="0" fontId="0" fillId="0" borderId="5" xfId="0" applyNumberFormat="1" applyBorder="1" applyAlignment="1">
      <alignment horizontal="center" vertical="center" shrinkToFit="1"/>
    </xf>
    <xf numFmtId="0" fontId="0" fillId="0" borderId="5" xfId="0" applyNumberFormat="1" applyFill="1" applyBorder="1" applyAlignment="1">
      <alignment horizontal="center" vertical="center" shrinkToFit="1"/>
    </xf>
    <xf numFmtId="0" fontId="4" fillId="0" borderId="5" xfId="10" applyNumberFormat="1" applyBorder="1" applyAlignment="1">
      <alignment horizontal="center" vertical="center" shrinkToFit="1"/>
    </xf>
    <xf numFmtId="0" fontId="7" fillId="0" borderId="0" xfId="0" applyNumberFormat="1" applyFont="1" applyBorder="1" applyAlignment="1" applyProtection="1">
      <alignment horizontal="center" vertical="center" shrinkToFit="1"/>
    </xf>
    <xf numFmtId="0" fontId="7" fillId="0" borderId="0" xfId="0" applyNumberFormat="1" applyFont="1" applyFill="1" applyAlignment="1">
      <alignment horizontal="center" vertical="center" shrinkToFit="1"/>
    </xf>
    <xf numFmtId="0" fontId="7" fillId="0" borderId="0" xfId="0" applyNumberFormat="1" applyFont="1" applyFill="1" applyBorder="1" applyAlignment="1">
      <alignment horizontal="center" vertical="center" shrinkToFit="1"/>
    </xf>
    <xf numFmtId="0" fontId="7" fillId="0" borderId="0" xfId="0" applyNumberFormat="1" applyFont="1" applyAlignment="1">
      <alignment horizontal="center" vertical="center" shrinkToFit="1"/>
    </xf>
    <xf numFmtId="0" fontId="0" fillId="0" borderId="0" xfId="0" applyAlignment="1" quotePrefix="1">
      <alignment horizontal="left" vertical="top" wrapTex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onnections" Target="connections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209550</xdr:colOff>
          <xdr:row>1</xdr:row>
          <xdr:rowOff>0</xdr:rowOff>
        </xdr:from>
        <xdr:to>
          <xdr:col>5</xdr:col>
          <xdr:colOff>323850</xdr:colOff>
          <xdr:row>1</xdr:row>
          <xdr:rowOff>466725</xdr:rowOff>
        </xdr:to>
        <xdr:sp macro="[0]!Sendnowrow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4057650" y="0"/>
              <a:ext cx="914400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发送单元格所在行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</xdr:row>
          <xdr:rowOff>19050</xdr:rowOff>
        </xdr:from>
        <xdr:to>
          <xdr:col>8</xdr:col>
          <xdr:colOff>57150</xdr:colOff>
          <xdr:row>1</xdr:row>
          <xdr:rowOff>438150</xdr:rowOff>
        </xdr:to>
        <xdr:sp macro="[0]!批量发送_Click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5238750" y="19050"/>
              <a:ext cx="1181100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发送给所有人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628650</xdr:colOff>
          <xdr:row>1</xdr:row>
          <xdr:rowOff>0</xdr:rowOff>
        </xdr:from>
        <xdr:to>
          <xdr:col>10</xdr:col>
          <xdr:colOff>1238250</xdr:colOff>
          <xdr:row>1</xdr:row>
          <xdr:rowOff>409575</xdr:rowOff>
        </xdr:to>
        <xdr:sp macro="[0]!批量替换并生成文件">
          <xdr:nvSpPr>
            <xdr:cNvPr id="33795" name="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8134350" y="0"/>
              <a:ext cx="609600" cy="4095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批量替换并生成文件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1695450</xdr:colOff>
          <xdr:row>1</xdr:row>
          <xdr:rowOff>47625</xdr:rowOff>
        </xdr:from>
        <xdr:to>
          <xdr:col>10</xdr:col>
          <xdr:colOff>2571750</xdr:colOff>
          <xdr:row>1</xdr:row>
          <xdr:rowOff>419100</xdr:rowOff>
        </xdr:to>
        <xdr:sp macro="[0]!结束VBS">
          <xdr:nvSpPr>
            <xdr:cNvPr id="33798" name="Button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>
            <a:xfrm>
              <a:off x="9201150" y="47625"/>
              <a:ext cx="876300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90" adjustColumnWidth="0" connectionId="7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2.xml><?xml version="1.0" encoding="utf-8"?>
<queryTable xmlns="http://schemas.openxmlformats.org/spreadsheetml/2006/main" name="ExternalData_1014" adjustColumnWidth="0" connectionId="3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</queryTableFields>
  </queryTableRefresh>
</queryTable>
</file>

<file path=xl/queryTables/queryTable3.xml><?xml version="1.0" encoding="utf-8"?>
<queryTable xmlns="http://schemas.openxmlformats.org/spreadsheetml/2006/main" name="ExternalData_1016" adjustColumnWidth="0" connectionId="5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4.xml><?xml version="1.0" encoding="utf-8"?>
<queryTable xmlns="http://schemas.openxmlformats.org/spreadsheetml/2006/main" name="ExternalData_1017" adjustColumnWidt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5.xml><?xml version="1.0" encoding="utf-8"?>
<queryTable xmlns="http://schemas.openxmlformats.org/spreadsheetml/2006/main" name="ExternalData_1000" adjustColumnWidth="0" connectionId="4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6.xml><?xml version="1.0" encoding="utf-8"?>
<queryTable xmlns="http://schemas.openxmlformats.org/spreadsheetml/2006/main" name="ExternalData_1013" adjustColumnWidth="0" connectionId="2" autoFormatId="16" applyNumberFormats="0" applyBorderFormats="0" applyFontFormats="1" applyPatternFormats="1" applyAlignmentFormats="0" applyWidthHeightFormats="0">
  <queryTableRefresh preserveSortFilterLayout="0" nextId="43">
    <queryTableFields count="4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</queryTableFields>
  </queryTableRefresh>
</queryTable>
</file>

<file path=xl/queryTables/queryTable7.xml><?xml version="1.0" encoding="utf-8"?>
<queryTable xmlns="http://schemas.openxmlformats.org/spreadsheetml/2006/main" name="ExternalData_1018" adjustColumnWidth="0" connectionId="1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7" Type="http://schemas.openxmlformats.org/officeDocument/2006/relationships/queryTable" Target="../queryTables/queryTable6.xml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hyperlink" Target="mailto:2518735972@qq.com" TargetMode="Externa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V5"/>
  <sheetViews>
    <sheetView workbookViewId="0">
      <selection activeCell="H16" sqref="H16"/>
    </sheetView>
  </sheetViews>
  <sheetFormatPr defaultColWidth="9" defaultRowHeight="13.5" outlineLevelRow="4"/>
  <cols>
    <col min="1" max="1" width="13.25" style="32" customWidth="1"/>
    <col min="2" max="2" width="9" style="32" customWidth="1"/>
    <col min="3" max="3" width="12.75" style="32" customWidth="1"/>
    <col min="4" max="4" width="12.625" style="11" customWidth="1"/>
    <col min="5" max="5" width="13" style="32" customWidth="1"/>
    <col min="6" max="6" width="14.25" style="32" customWidth="1"/>
    <col min="7" max="7" width="13.75" style="32" customWidth="1"/>
    <col min="8" max="8" width="15.375" style="32" customWidth="1"/>
    <col min="9" max="9" width="10.75" style="32" customWidth="1"/>
    <col min="10" max="10" width="14.25" style="32" customWidth="1"/>
    <col min="11" max="11" width="2.5" style="32" customWidth="1"/>
    <col min="12" max="12" width="9.75" style="32" customWidth="1"/>
    <col min="13" max="13" width="14.125" style="32" customWidth="1"/>
    <col min="14" max="14" width="11.75" style="32" customWidth="1"/>
    <col min="15" max="15" width="7.5" style="32" customWidth="1"/>
    <col min="16" max="16" width="8" style="32" customWidth="1"/>
    <col min="17" max="17" width="7.75" style="32" customWidth="1"/>
    <col min="18" max="18" width="6.375" style="32" customWidth="1"/>
    <col min="19" max="19" width="9" style="32"/>
    <col min="20" max="26" width="8.125" style="32" customWidth="1"/>
    <col min="27" max="16384" width="9" style="32"/>
  </cols>
  <sheetData>
    <row r="1" s="8" customFormat="1" ht="14.45" customHeight="1" spans="1:48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3" t="s">
        <v>5</v>
      </c>
      <c r="G1" s="34" t="s">
        <v>6</v>
      </c>
      <c r="H1" s="33" t="s">
        <v>7</v>
      </c>
      <c r="I1" s="40"/>
      <c r="J1" s="40"/>
      <c r="K1" s="41"/>
      <c r="L1" s="41"/>
      <c r="M1" s="41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</row>
    <row r="2" ht="14.25" spans="1:42">
      <c r="A2" s="35" t="s">
        <v>8</v>
      </c>
      <c r="B2" s="35">
        <v>123</v>
      </c>
      <c r="C2" s="35"/>
      <c r="D2" s="33"/>
      <c r="E2" s="35">
        <v>187277552</v>
      </c>
      <c r="F2" s="36"/>
      <c r="G2" s="34" t="s">
        <v>9</v>
      </c>
      <c r="H2" s="33" t="s">
        <v>10</v>
      </c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8">
      <c r="A3" s="37" t="s">
        <v>11</v>
      </c>
      <c r="B3" s="37"/>
      <c r="C3" s="37"/>
      <c r="D3" s="38"/>
      <c r="E3" s="37">
        <v>2518735972</v>
      </c>
      <c r="F3" s="39" t="s">
        <v>12</v>
      </c>
      <c r="G3" s="37" t="s">
        <v>13</v>
      </c>
      <c r="H3" s="37"/>
    </row>
    <row r="4" spans="1:8">
      <c r="A4" s="37" t="s">
        <v>14</v>
      </c>
      <c r="B4" s="37"/>
      <c r="C4" s="37"/>
      <c r="D4" s="38"/>
      <c r="E4" s="37">
        <v>53053067</v>
      </c>
      <c r="F4" s="37"/>
      <c r="G4" s="37"/>
      <c r="H4" s="37"/>
    </row>
    <row r="5" spans="1:8">
      <c r="A5" s="37"/>
      <c r="B5" s="37"/>
      <c r="C5" s="37"/>
      <c r="D5" s="38"/>
      <c r="E5" s="37"/>
      <c r="F5" s="37"/>
      <c r="G5" s="37"/>
      <c r="H5" s="37"/>
    </row>
  </sheetData>
  <hyperlinks>
    <hyperlink ref="F3" r:id="rId1" display="2518735972@qq.com"/>
  </hyperlinks>
  <pageMargins left="0.7" right="0.7" top="0.75" bottom="0.75" header="0.3" footer="0.3"/>
  <pageSetup paperSize="9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R405"/>
  <sheetViews>
    <sheetView tabSelected="1" topLeftCell="A2" workbookViewId="0">
      <selection activeCell="K27" sqref="K27"/>
    </sheetView>
  </sheetViews>
  <sheetFormatPr defaultColWidth="9" defaultRowHeight="13.5"/>
  <cols>
    <col min="1" max="1" width="12.75" style="20" customWidth="1"/>
    <col min="2" max="2" width="12.625" style="20" customWidth="1"/>
    <col min="3" max="3" width="12.125" style="20" customWidth="1"/>
    <col min="4" max="4" width="13" style="20" customWidth="1"/>
    <col min="5" max="5" width="10.5" style="20" customWidth="1"/>
    <col min="6" max="10" width="7.5" style="20" customWidth="1"/>
    <col min="11" max="11" width="55.375" style="21" customWidth="1"/>
    <col min="12" max="12" width="10.25" style="21" customWidth="1"/>
    <col min="13" max="13" width="42.75" style="21" customWidth="1"/>
    <col min="14" max="18" width="9" style="21"/>
    <col min="19" max="16384" width="9" style="20"/>
  </cols>
  <sheetData>
    <row r="1" ht="70.9" hidden="1" customHeight="1" spans="1:9">
      <c r="A1" s="22" t="str">
        <f>A2</f>
        <v>微信发消息</v>
      </c>
      <c r="B1" s="23" t="str">
        <f>IF(ISERROR(VLOOKUP(A1,常用代码!A:F,2,FALSE)),"",VLOOKUP(A1,常用代码!A:F,2,FALSE))</f>
        <v>rem 正在执行 参数01
Name= "参数03"
Msg = "参数11"
set ws=wscript.createobject("wscript.shell")
ws.Run "mshta vbscript:ClipboardData.SetData("&amp;chr(34)&amp;"text"&amp;chr(34)&amp;"," &amp;Chr(34)&amp; Name&amp;Chr(34)&amp; ")(close)",0,True
wscript.sleep 999
ws.sendKeys "^f"
wscript.sleep 999
ws.sendKeys "^v"
wscript.sleep 999
ws.sendKeys "{ENTER}"
wscript.sleep 555
ws.sendKeys "{TAB}"
wscript.sleep 555
ws.Run "mshta vbscript:ClipboardData.SetData("&amp;chr(34)&amp;"text"&amp;chr(34)&amp;"," &amp;Chr(34)&amp; Msg &amp;Chr(34)&amp; ")(close)",0,True
wscript.sleep 500
ws.sendKeys "^v"
wscript.sleep 300
ws.sendKeys "{ENTER}"
Set ws= Nothing</v>
      </c>
      <c r="C1" s="23"/>
      <c r="D1" s="23"/>
      <c r="E1" s="20" t="s">
        <v>15</v>
      </c>
      <c r="F1" s="20" t="str">
        <f>IF(LEN(VLOOKUP(A1,常用代码!A:F,3,FALSE))&lt;2,"",VLOOKUP(A1,常用代码!A:F,3,FALSE))</f>
        <v>Dim Name,Msg
set ws2=wscript.createobject("wscript.shell")
ws2.appactivate "微信"
ws2.sendKeys "^%w"
Set ws2= Nothing</v>
      </c>
      <c r="G1" s="20" t="s">
        <v>16</v>
      </c>
      <c r="H1" s="20" t="str">
        <f>IF(LEN(VLOOKUP(A1,常用代码!A:F,4,FALSE))&lt;2,"",VLOOKUP(A1,常用代码!A:F,4,FALSE))</f>
        <v/>
      </c>
      <c r="I1" s="20" t="str">
        <f>IF(LEN(VLOOKUP(A1,常用代码!A:F,4,FALSE))&lt;2,"",VLOOKUP(A1,常用代码!A:F,4,FALSE))</f>
        <v/>
      </c>
    </row>
    <row r="2" ht="37.5" customHeight="1" spans="1:2">
      <c r="A2" s="22" t="s">
        <v>17</v>
      </c>
      <c r="B2" s="20" t="s">
        <v>18</v>
      </c>
    </row>
    <row r="3" s="17" customFormat="1" ht="45.75" customHeight="1" spans="1:18">
      <c r="A3" s="17" t="str">
        <f>IF(ISERROR(VLOOKUP(A1,常用代码!A:I,7,FALSE)&amp;""),"",VLOOKUP(A1,常用代码!A:I,7,FALSE)&amp;"")</f>
        <v>K列为发送的内容。</v>
      </c>
      <c r="B3" s="17" t="str">
        <f>IF(ISERROR(VLOOKUP(A1,常用代码!A:I,8,FALSE)&amp;""),"",VLOOKUP(A1,常用代码!A:I,8,FALSE)&amp;"")</f>
        <v/>
      </c>
      <c r="C3" s="17" t="str">
        <f>IF(ISERROR(VLOOKUP(A1,常用代码!A:I,9,FALSE)&amp;""),"",VLOOKUP(A1,常用代码!A:I,9,FALSE)&amp;"")</f>
        <v/>
      </c>
      <c r="K3" s="26" t="s">
        <v>19</v>
      </c>
      <c r="L3" s="26"/>
      <c r="M3" s="26"/>
      <c r="N3" s="26"/>
      <c r="O3" s="26"/>
      <c r="P3" s="26"/>
      <c r="Q3" s="26"/>
      <c r="R3" s="26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idden="1"/>
    <row r="19" s="18" customFormat="1" ht="16.9" customHeight="1" spans="1:18">
      <c r="A19" s="24" t="s">
        <v>20</v>
      </c>
      <c r="B19" s="24" t="s">
        <v>21</v>
      </c>
      <c r="C19" s="24" t="s">
        <v>22</v>
      </c>
      <c r="D19" s="24" t="s">
        <v>23</v>
      </c>
      <c r="E19" s="24" t="s">
        <v>24</v>
      </c>
      <c r="F19" s="24" t="s">
        <v>25</v>
      </c>
      <c r="G19" s="24" t="s">
        <v>26</v>
      </c>
      <c r="H19" s="24" t="s">
        <v>27</v>
      </c>
      <c r="I19" s="24" t="s">
        <v>28</v>
      </c>
      <c r="J19" s="24" t="s">
        <v>29</v>
      </c>
      <c r="K19" s="27" t="s">
        <v>30</v>
      </c>
      <c r="L19" s="27" t="s">
        <v>31</v>
      </c>
      <c r="M19" s="27" t="s">
        <v>32</v>
      </c>
      <c r="N19" s="27" t="s">
        <v>33</v>
      </c>
      <c r="O19" s="27" t="s">
        <v>34</v>
      </c>
      <c r="P19" s="28"/>
      <c r="Q19" s="28"/>
      <c r="R19" s="28"/>
    </row>
    <row r="20" s="18" customFormat="1" ht="16.9" customHeight="1" spans="1:18">
      <c r="A20" s="24" t="s">
        <v>0</v>
      </c>
      <c r="B20" s="18" t="s">
        <v>2</v>
      </c>
      <c r="C20" s="24" t="s">
        <v>6</v>
      </c>
      <c r="D20" s="18" t="s">
        <v>4</v>
      </c>
      <c r="E20" s="24" t="s">
        <v>5</v>
      </c>
      <c r="F20" s="18" t="s">
        <v>35</v>
      </c>
      <c r="G20" s="24" t="s">
        <v>36</v>
      </c>
      <c r="K20" s="28" t="s">
        <v>37</v>
      </c>
      <c r="L20" s="28"/>
      <c r="M20" s="28"/>
      <c r="N20" s="28"/>
      <c r="O20" s="28"/>
      <c r="P20" s="28"/>
      <c r="Q20" s="28"/>
      <c r="R20" s="28"/>
    </row>
    <row r="21" s="19" customFormat="1" ht="26.1" customHeight="1" spans="1:18">
      <c r="A21" s="19" t="s">
        <v>11</v>
      </c>
      <c r="B21" s="19" t="str">
        <f>IF(ISERROR(VLOOKUP($A21,通讯录!$A:$H,3,FALSE)&amp;""),"",VLOOKUP($A21,通讯录!$A:$H,3,FALSE)&amp;"")</f>
        <v/>
      </c>
      <c r="C21" s="19" t="str">
        <f>IF(ISERROR(VLOOKUP($A21,通讯录!$A:$H,7,FALSE)&amp;""),"",VLOOKUP($A21,通讯录!$A:$H,7,FALSE)&amp;"")</f>
        <v>老黄牛小号</v>
      </c>
      <c r="D21" s="19" t="str">
        <f>IF(ISERROR(VLOOKUP($A21,通讯录!$A:$H,5,FALSE)&amp;""),"",VLOOKUP($A21,通讯录!$A:$H,5,FALSE)&amp;"")</f>
        <v>2518735972</v>
      </c>
      <c r="E21" s="19" t="str">
        <f>IF(ISERROR(VLOOKUP($A21,通讯录!$A:$H,6,FALSE)&amp;""),"",VLOOKUP($A21,通讯录!$A:$H,6,FALSE)&amp;"")</f>
        <v>2518735972@qq.com</v>
      </c>
      <c r="F21" s="19" t="str">
        <f>IF(ISERROR(VLOOKUP($A21,通讯录!$A:$H,4,FALSE)&amp;""),"",VLOOKUP($A21,通讯录!$A:$H,4,FALSE)&amp;"")</f>
        <v/>
      </c>
      <c r="G21" s="19" t="str">
        <f>IF(ISERROR(VLOOKUP($A21,通讯录!$A:$H,8,FALSE)&amp;""),"",VLOOKUP($A21,通讯录!$A:$H,8,FALSE)&amp;"")</f>
        <v/>
      </c>
      <c r="K21" s="29" t="str">
        <f>CONCATENATE(L21,M21,N21,O21,P21,Q21,R21,S21)</f>
        <v>王老师，您好。这是测试短信</v>
      </c>
      <c r="L21" s="29" t="str">
        <f>LEFT(A21,1)</f>
        <v>王</v>
      </c>
      <c r="M21" s="29" t="s">
        <v>38</v>
      </c>
      <c r="N21" s="29"/>
      <c r="O21" s="29"/>
      <c r="P21" s="29"/>
      <c r="Q21" s="29"/>
      <c r="R21" s="29"/>
    </row>
    <row r="22" s="19" customFormat="1" ht="26.1" customHeight="1" spans="1:18">
      <c r="A22" s="19" t="s">
        <v>8</v>
      </c>
      <c r="B22" s="19" t="str">
        <f>IF(ISERROR(VLOOKUP($A22,通讯录!$A:$H,3,FALSE)&amp;""),"",VLOOKUP($A22,通讯录!$A:$H,3,FALSE)&amp;"")</f>
        <v/>
      </c>
      <c r="C22" s="19" t="str">
        <f>IF(ISERROR(VLOOKUP($A22,通讯录!$A:$H,7,FALSE)&amp;""),"",VLOOKUP($A22,通讯录!$A:$H,7,FALSE)&amp;"")</f>
        <v>黄牛小号</v>
      </c>
      <c r="D22" s="19" t="str">
        <f>IF(ISERROR(VLOOKUP($A22,通讯录!$A:$H,5,FALSE)&amp;""),"",VLOOKUP($A22,通讯录!$A:$H,5,FALSE)&amp;"")</f>
        <v>187277552</v>
      </c>
      <c r="E22" s="19" t="str">
        <f>IF(ISERROR(VLOOKUP($A22,通讯录!$A:$H,6,FALSE)&amp;""),"",VLOOKUP($A22,通讯录!$A:$H,6,FALSE)&amp;"")</f>
        <v/>
      </c>
      <c r="F22" s="19" t="str">
        <f>IF(ISERROR(VLOOKUP($A22,通讯录!$A:$H,4,FALSE)&amp;""),"",VLOOKUP($A22,通讯录!$A:$H,4,FALSE)&amp;"")</f>
        <v/>
      </c>
      <c r="G22" s="19" t="str">
        <f>IF(ISERROR(VLOOKUP($A22,通讯录!$A:$H,8,FALSE)&amp;""),"",VLOOKUP($A22,通讯录!$A:$H,8,FALSE)&amp;"")</f>
        <v>d111</v>
      </c>
      <c r="K22" s="29" t="str">
        <f t="shared" ref="K22:K85" si="0">CONCATENATE(L22,M22,N22,O22,P22,Q22,R22,S22)</f>
        <v>小老师，您好。这是测试短信</v>
      </c>
      <c r="L22" s="29" t="str">
        <f t="shared" ref="L22:L38" si="1">LEFT(A22,1)</f>
        <v>小</v>
      </c>
      <c r="M22" s="29" t="str">
        <f>IF(A22="","",M21)</f>
        <v>老师，您好。这是测试短信</v>
      </c>
      <c r="N22" s="29"/>
      <c r="O22" s="29"/>
      <c r="P22" s="29"/>
      <c r="Q22" s="29"/>
      <c r="R22" s="29"/>
    </row>
    <row r="23" s="19" customFormat="1" ht="26.1" customHeight="1" spans="2:18">
      <c r="B23" s="19" t="str">
        <f>IF(ISERROR(VLOOKUP($A23,通讯录!$A:$H,3,FALSE)&amp;""),"",VLOOKUP($A23,通讯录!$A:$H,3,FALSE)&amp;"")</f>
        <v/>
      </c>
      <c r="C23" s="19" t="str">
        <f>IF(ISERROR(VLOOKUP($A23,通讯录!$A:$H,7,FALSE)&amp;""),"",VLOOKUP($A23,通讯录!$A:$H,7,FALSE)&amp;"")</f>
        <v/>
      </c>
      <c r="D23" s="19" t="str">
        <f>IF(ISERROR(VLOOKUP($A23,通讯录!$A:$H,5,FALSE)&amp;""),"",VLOOKUP($A23,通讯录!$A:$H,5,FALSE)&amp;"")</f>
        <v/>
      </c>
      <c r="E23" s="19" t="str">
        <f>IF(ISERROR(VLOOKUP($A23,通讯录!$A:$H,6,FALSE)&amp;""),"",VLOOKUP($A23,通讯录!$A:$H,6,FALSE)&amp;"")</f>
        <v/>
      </c>
      <c r="F23" s="19" t="str">
        <f>IF(ISERROR(VLOOKUP($A23,通讯录!$A:$H,4,FALSE)&amp;""),"",VLOOKUP($A23,通讯录!$A:$H,4,FALSE)&amp;"")</f>
        <v/>
      </c>
      <c r="G23" s="19" t="str">
        <f>IF(ISERROR(VLOOKUP($A23,通讯录!$A:$H,8,FALSE)&amp;""),"",VLOOKUP($A23,通讯录!$A:$H,8,FALSE)&amp;"")</f>
        <v/>
      </c>
      <c r="K23" s="29" t="str">
        <f t="shared" si="0"/>
        <v/>
      </c>
      <c r="L23" s="29" t="str">
        <f t="shared" si="1"/>
        <v/>
      </c>
      <c r="M23" s="29" t="str">
        <f t="shared" ref="M23:M36" si="2">IF(A23="","",M22)</f>
        <v/>
      </c>
      <c r="N23" s="29"/>
      <c r="O23" s="29"/>
      <c r="P23" s="29"/>
      <c r="Q23" s="29"/>
      <c r="R23" s="29"/>
    </row>
    <row r="24" s="19" customFormat="1" ht="26.1" customHeight="1" spans="2:18">
      <c r="B24" s="19" t="str">
        <f>IF(ISERROR(VLOOKUP($A24,通讯录!$A:$H,3,FALSE)&amp;""),"",VLOOKUP($A24,通讯录!$A:$H,3,FALSE)&amp;"")</f>
        <v/>
      </c>
      <c r="C24" s="19" t="str">
        <f>IF(ISERROR(VLOOKUP($A24,通讯录!$A:$H,7,FALSE)&amp;""),"",VLOOKUP($A24,通讯录!$A:$H,7,FALSE)&amp;"")</f>
        <v/>
      </c>
      <c r="D24" s="19" t="str">
        <f>IF(ISERROR(VLOOKUP($A24,通讯录!$A:$H,5,FALSE)&amp;""),"",VLOOKUP($A24,通讯录!$A:$H,5,FALSE)&amp;"")</f>
        <v/>
      </c>
      <c r="E24" s="19" t="str">
        <f>IF(ISERROR(VLOOKUP($A24,通讯录!$A:$H,6,FALSE)&amp;""),"",VLOOKUP($A24,通讯录!$A:$H,6,FALSE)&amp;"")</f>
        <v/>
      </c>
      <c r="F24" s="19" t="str">
        <f>IF(ISERROR(VLOOKUP($A24,通讯录!$A:$H,4,FALSE)&amp;""),"",VLOOKUP($A24,通讯录!$A:$H,4,FALSE)&amp;"")</f>
        <v/>
      </c>
      <c r="G24" s="19" t="str">
        <f>IF(ISERROR(VLOOKUP($A24,通讯录!$A:$H,8,FALSE)&amp;""),"",VLOOKUP($A24,通讯录!$A:$H,8,FALSE)&amp;"")</f>
        <v/>
      </c>
      <c r="K24" s="29" t="str">
        <f t="shared" si="0"/>
        <v/>
      </c>
      <c r="L24" s="29" t="str">
        <f t="shared" si="1"/>
        <v/>
      </c>
      <c r="M24" s="29" t="str">
        <f t="shared" si="2"/>
        <v/>
      </c>
      <c r="N24" s="29"/>
      <c r="O24" s="29"/>
      <c r="P24" s="29"/>
      <c r="Q24" s="29"/>
      <c r="R24" s="29"/>
    </row>
    <row r="25" s="19" customFormat="1" ht="26.1" customHeight="1" spans="2:18">
      <c r="B25" s="19" t="str">
        <f>IF(ISERROR(VLOOKUP($A25,通讯录!$A:$H,3,FALSE)&amp;""),"",VLOOKUP($A25,通讯录!$A:$H,3,FALSE)&amp;"")</f>
        <v/>
      </c>
      <c r="C25" s="19" t="str">
        <f>IF(ISERROR(VLOOKUP($A25,通讯录!$A:$H,7,FALSE)&amp;""),"",VLOOKUP($A25,通讯录!$A:$H,7,FALSE)&amp;"")</f>
        <v/>
      </c>
      <c r="D25" s="19" t="str">
        <f>IF(ISERROR(VLOOKUP($A25,通讯录!$A:$H,5,FALSE)&amp;""),"",VLOOKUP($A25,通讯录!$A:$H,5,FALSE)&amp;"")</f>
        <v/>
      </c>
      <c r="E25" s="19" t="str">
        <f>IF(ISERROR(VLOOKUP($A25,通讯录!$A:$H,6,FALSE)&amp;""),"",VLOOKUP($A25,通讯录!$A:$H,6,FALSE)&amp;"")</f>
        <v/>
      </c>
      <c r="F25" s="19" t="str">
        <f>IF(ISERROR(VLOOKUP($A25,通讯录!$A:$H,4,FALSE)&amp;""),"",VLOOKUP($A25,通讯录!$A:$H,4,FALSE)&amp;"")</f>
        <v/>
      </c>
      <c r="G25" s="19" t="str">
        <f>IF(ISERROR(VLOOKUP($A25,通讯录!$A:$H,8,FALSE)&amp;""),"",VLOOKUP($A25,通讯录!$A:$H,8,FALSE)&amp;"")</f>
        <v/>
      </c>
      <c r="K25" s="29" t="str">
        <f t="shared" si="0"/>
        <v/>
      </c>
      <c r="L25" s="29" t="str">
        <f t="shared" si="1"/>
        <v/>
      </c>
      <c r="M25" s="29" t="str">
        <f t="shared" si="2"/>
        <v/>
      </c>
      <c r="N25" s="29"/>
      <c r="O25" s="29"/>
      <c r="P25" s="29"/>
      <c r="Q25" s="29"/>
      <c r="R25" s="29"/>
    </row>
    <row r="26" s="19" customFormat="1" ht="26.1" customHeight="1" spans="2:18">
      <c r="B26" s="19" t="str">
        <f>IF(ISERROR(VLOOKUP($A26,通讯录!$A:$H,3,FALSE)&amp;""),"",VLOOKUP($A26,通讯录!$A:$H,3,FALSE)&amp;"")</f>
        <v/>
      </c>
      <c r="C26" s="19" t="str">
        <f>IF(ISERROR(VLOOKUP($A26,通讯录!$A:$H,7,FALSE)&amp;""),"",VLOOKUP($A26,通讯录!$A:$H,7,FALSE)&amp;"")</f>
        <v/>
      </c>
      <c r="D26" s="19" t="str">
        <f>IF(ISERROR(VLOOKUP($A26,通讯录!$A:$H,5,FALSE)&amp;""),"",VLOOKUP($A26,通讯录!$A:$H,5,FALSE)&amp;"")</f>
        <v/>
      </c>
      <c r="E26" s="19" t="str">
        <f>IF(ISERROR(VLOOKUP($A26,通讯录!$A:$H,6,FALSE)&amp;""),"",VLOOKUP($A26,通讯录!$A:$H,6,FALSE)&amp;"")</f>
        <v/>
      </c>
      <c r="F26" s="19" t="str">
        <f>IF(ISERROR(VLOOKUP($A26,通讯录!$A:$H,4,FALSE)&amp;""),"",VLOOKUP($A26,通讯录!$A:$H,4,FALSE)&amp;"")</f>
        <v/>
      </c>
      <c r="G26" s="19" t="str">
        <f>IF(ISERROR(VLOOKUP($A26,通讯录!$A:$H,8,FALSE)&amp;""),"",VLOOKUP($A26,通讯录!$A:$H,8,FALSE)&amp;"")</f>
        <v/>
      </c>
      <c r="K26" s="29" t="str">
        <f t="shared" si="0"/>
        <v/>
      </c>
      <c r="L26" s="29" t="str">
        <f t="shared" si="1"/>
        <v/>
      </c>
      <c r="M26" s="29" t="str">
        <f t="shared" si="2"/>
        <v/>
      </c>
      <c r="N26" s="29"/>
      <c r="O26" s="29"/>
      <c r="P26" s="29"/>
      <c r="Q26" s="29"/>
      <c r="R26" s="29"/>
    </row>
    <row r="27" s="19" customFormat="1" ht="26.1" customHeight="1" spans="2:18">
      <c r="B27" s="19" t="str">
        <f>IF(ISERROR(VLOOKUP($A27,通讯录!$A:$H,3,FALSE)&amp;""),"",VLOOKUP($A27,通讯录!$A:$H,3,FALSE)&amp;"")</f>
        <v/>
      </c>
      <c r="C27" s="19" t="str">
        <f>IF(ISERROR(VLOOKUP($A27,通讯录!$A:$H,7,FALSE)&amp;""),"",VLOOKUP($A27,通讯录!$A:$H,7,FALSE)&amp;"")</f>
        <v/>
      </c>
      <c r="D27" s="19" t="str">
        <f>IF(ISERROR(VLOOKUP($A27,通讯录!$A:$H,5,FALSE)&amp;""),"",VLOOKUP($A27,通讯录!$A:$H,5,FALSE)&amp;"")</f>
        <v/>
      </c>
      <c r="E27" s="19" t="str">
        <f>IF(ISERROR(VLOOKUP($A27,通讯录!$A:$H,6,FALSE)&amp;""),"",VLOOKUP($A27,通讯录!$A:$H,6,FALSE)&amp;"")</f>
        <v/>
      </c>
      <c r="F27" s="19" t="str">
        <f>IF(ISERROR(VLOOKUP($A27,通讯录!$A:$H,4,FALSE)&amp;""),"",VLOOKUP($A27,通讯录!$A:$H,4,FALSE)&amp;"")</f>
        <v/>
      </c>
      <c r="G27" s="19" t="str">
        <f>IF(ISERROR(VLOOKUP($A27,通讯录!$A:$H,8,FALSE)&amp;""),"",VLOOKUP($A27,通讯录!$A:$H,8,FALSE)&amp;"")</f>
        <v/>
      </c>
      <c r="K27" s="29" t="str">
        <f t="shared" si="0"/>
        <v/>
      </c>
      <c r="L27" s="29" t="str">
        <f t="shared" si="1"/>
        <v/>
      </c>
      <c r="M27" s="29" t="str">
        <f t="shared" si="2"/>
        <v/>
      </c>
      <c r="N27" s="29"/>
      <c r="O27" s="29"/>
      <c r="P27" s="29"/>
      <c r="Q27" s="29"/>
      <c r="R27" s="29"/>
    </row>
    <row r="28" s="19" customFormat="1" ht="26.1" customHeight="1" spans="2:18">
      <c r="B28" s="19" t="str">
        <f>IF(ISERROR(VLOOKUP($A28,通讯录!$A:$H,3,FALSE)&amp;""),"",VLOOKUP($A28,通讯录!$A:$H,3,FALSE)&amp;"")</f>
        <v/>
      </c>
      <c r="C28" s="19" t="str">
        <f>IF(ISERROR(VLOOKUP($A28,通讯录!$A:$H,7,FALSE)&amp;""),"",VLOOKUP($A28,通讯录!$A:$H,7,FALSE)&amp;"")</f>
        <v/>
      </c>
      <c r="D28" s="19" t="str">
        <f>IF(ISERROR(VLOOKUP($A28,通讯录!$A:$H,5,FALSE)&amp;""),"",VLOOKUP($A28,通讯录!$A:$H,5,FALSE)&amp;"")</f>
        <v/>
      </c>
      <c r="E28" s="19" t="str">
        <f>IF(ISERROR(VLOOKUP($A28,通讯录!$A:$H,6,FALSE)&amp;""),"",VLOOKUP($A28,通讯录!$A:$H,6,FALSE)&amp;"")</f>
        <v/>
      </c>
      <c r="F28" s="19" t="str">
        <f>IF(ISERROR(VLOOKUP($A28,通讯录!$A:$H,4,FALSE)&amp;""),"",VLOOKUP($A28,通讯录!$A:$H,4,FALSE)&amp;"")</f>
        <v/>
      </c>
      <c r="G28" s="19" t="str">
        <f>IF(ISERROR(VLOOKUP($A28,通讯录!$A:$H,8,FALSE)&amp;""),"",VLOOKUP($A28,通讯录!$A:$H,8,FALSE)&amp;"")</f>
        <v/>
      </c>
      <c r="K28" s="29" t="str">
        <f t="shared" si="0"/>
        <v/>
      </c>
      <c r="L28" s="29" t="str">
        <f t="shared" si="1"/>
        <v/>
      </c>
      <c r="M28" s="29" t="str">
        <f t="shared" si="2"/>
        <v/>
      </c>
      <c r="N28" s="29"/>
      <c r="O28" s="29"/>
      <c r="P28" s="29"/>
      <c r="Q28" s="29"/>
      <c r="R28" s="29"/>
    </row>
    <row r="29" s="19" customFormat="1" ht="26.1" customHeight="1" spans="2:18">
      <c r="B29" s="19" t="str">
        <f>IF(ISERROR(VLOOKUP($A29,通讯录!$A:$H,3,FALSE)&amp;""),"",VLOOKUP($A29,通讯录!$A:$H,3,FALSE)&amp;"")</f>
        <v/>
      </c>
      <c r="C29" s="19" t="str">
        <f>IF(ISERROR(VLOOKUP($A29,通讯录!$A:$H,7,FALSE)&amp;""),"",VLOOKUP($A29,通讯录!$A:$H,7,FALSE)&amp;"")</f>
        <v/>
      </c>
      <c r="D29" s="19" t="str">
        <f>IF(ISERROR(VLOOKUP($A29,通讯录!$A:$H,5,FALSE)&amp;""),"",VLOOKUP($A29,通讯录!$A:$H,5,FALSE)&amp;"")</f>
        <v/>
      </c>
      <c r="E29" s="19" t="str">
        <f>IF(ISERROR(VLOOKUP($A29,通讯录!$A:$H,6,FALSE)&amp;""),"",VLOOKUP($A29,通讯录!$A:$H,6,FALSE)&amp;"")</f>
        <v/>
      </c>
      <c r="F29" s="19" t="str">
        <f>IF(ISERROR(VLOOKUP($A29,通讯录!$A:$H,4,FALSE)&amp;""),"",VLOOKUP($A29,通讯录!$A:$H,4,FALSE)&amp;"")</f>
        <v/>
      </c>
      <c r="G29" s="19" t="str">
        <f>IF(ISERROR(VLOOKUP($A29,通讯录!$A:$H,8,FALSE)&amp;""),"",VLOOKUP($A29,通讯录!$A:$H,8,FALSE)&amp;"")</f>
        <v/>
      </c>
      <c r="K29" s="29" t="str">
        <f t="shared" si="0"/>
        <v/>
      </c>
      <c r="L29" s="29" t="str">
        <f t="shared" si="1"/>
        <v/>
      </c>
      <c r="M29" s="29" t="str">
        <f t="shared" si="2"/>
        <v/>
      </c>
      <c r="N29" s="29"/>
      <c r="O29" s="29"/>
      <c r="P29" s="29"/>
      <c r="Q29" s="29"/>
      <c r="R29" s="29"/>
    </row>
    <row r="30" s="19" customFormat="1" ht="26.1" customHeight="1" spans="2:18">
      <c r="B30" s="19" t="str">
        <f>IF(ISERROR(VLOOKUP($A30,通讯录!$A:$H,3,FALSE)&amp;""),"",VLOOKUP($A30,通讯录!$A:$H,3,FALSE)&amp;"")</f>
        <v/>
      </c>
      <c r="C30" s="19" t="str">
        <f>IF(ISERROR(VLOOKUP($A30,通讯录!$A:$H,7,FALSE)&amp;""),"",VLOOKUP($A30,通讯录!$A:$H,7,FALSE)&amp;"")</f>
        <v/>
      </c>
      <c r="D30" s="19" t="str">
        <f>IF(ISERROR(VLOOKUP($A30,通讯录!$A:$H,5,FALSE)&amp;""),"",VLOOKUP($A30,通讯录!$A:$H,5,FALSE)&amp;"")</f>
        <v/>
      </c>
      <c r="E30" s="19" t="str">
        <f>IF(ISERROR(VLOOKUP($A30,通讯录!$A:$H,6,FALSE)&amp;""),"",VLOOKUP($A30,通讯录!$A:$H,6,FALSE)&amp;"")</f>
        <v/>
      </c>
      <c r="F30" s="19" t="str">
        <f>IF(ISERROR(VLOOKUP($A30,通讯录!$A:$H,4,FALSE)&amp;""),"",VLOOKUP($A30,通讯录!$A:$H,4,FALSE)&amp;"")</f>
        <v/>
      </c>
      <c r="G30" s="19" t="str">
        <f>IF(ISERROR(VLOOKUP($A30,通讯录!$A:$H,8,FALSE)&amp;""),"",VLOOKUP($A30,通讯录!$A:$H,8,FALSE)&amp;"")</f>
        <v/>
      </c>
      <c r="K30" s="29" t="str">
        <f t="shared" si="0"/>
        <v/>
      </c>
      <c r="L30" s="29" t="str">
        <f t="shared" si="1"/>
        <v/>
      </c>
      <c r="M30" s="29" t="str">
        <f t="shared" si="2"/>
        <v/>
      </c>
      <c r="N30" s="29"/>
      <c r="O30" s="29"/>
      <c r="P30" s="29"/>
      <c r="Q30" s="29"/>
      <c r="R30" s="29"/>
    </row>
    <row r="31" s="19" customFormat="1" ht="26.1" customHeight="1" spans="2:18">
      <c r="B31" s="19" t="str">
        <f>IF(ISERROR(VLOOKUP($A31,通讯录!$A:$H,3,FALSE)&amp;""),"",VLOOKUP($A31,通讯录!$A:$H,3,FALSE)&amp;"")</f>
        <v/>
      </c>
      <c r="C31" s="19" t="str">
        <f>IF(ISERROR(VLOOKUP($A31,通讯录!$A:$H,7,FALSE)&amp;""),"",VLOOKUP($A31,通讯录!$A:$H,7,FALSE)&amp;"")</f>
        <v/>
      </c>
      <c r="D31" s="19" t="str">
        <f>IF(ISERROR(VLOOKUP($A31,通讯录!$A:$H,5,FALSE)&amp;""),"",VLOOKUP($A31,通讯录!$A:$H,5,FALSE)&amp;"")</f>
        <v/>
      </c>
      <c r="E31" s="19" t="str">
        <f>IF(ISERROR(VLOOKUP($A31,通讯录!$A:$H,6,FALSE)&amp;""),"",VLOOKUP($A31,通讯录!$A:$H,6,FALSE)&amp;"")</f>
        <v/>
      </c>
      <c r="F31" s="19" t="str">
        <f>IF(ISERROR(VLOOKUP($A31,通讯录!$A:$H,4,FALSE)&amp;""),"",VLOOKUP($A31,通讯录!$A:$H,4,FALSE)&amp;"")</f>
        <v/>
      </c>
      <c r="G31" s="19" t="str">
        <f>IF(ISERROR(VLOOKUP($A31,通讯录!$A:$H,8,FALSE)&amp;""),"",VLOOKUP($A31,通讯录!$A:$H,8,FALSE)&amp;"")</f>
        <v/>
      </c>
      <c r="K31" s="29" t="str">
        <f t="shared" si="0"/>
        <v/>
      </c>
      <c r="L31" s="29" t="str">
        <f t="shared" si="1"/>
        <v/>
      </c>
      <c r="M31" s="29" t="str">
        <f t="shared" si="2"/>
        <v/>
      </c>
      <c r="N31" s="29"/>
      <c r="O31" s="29"/>
      <c r="P31" s="29"/>
      <c r="Q31" s="29"/>
      <c r="R31" s="29"/>
    </row>
    <row r="32" s="19" customFormat="1" ht="26.1" customHeight="1" spans="2:18">
      <c r="B32" s="19" t="str">
        <f>IF(ISERROR(VLOOKUP($A32,通讯录!$A:$H,3,FALSE)&amp;""),"",VLOOKUP($A32,通讯录!$A:$H,3,FALSE)&amp;"")</f>
        <v/>
      </c>
      <c r="C32" s="19" t="str">
        <f>IF(ISERROR(VLOOKUP($A32,通讯录!$A:$H,7,FALSE)&amp;""),"",VLOOKUP($A32,通讯录!$A:$H,7,FALSE)&amp;"")</f>
        <v/>
      </c>
      <c r="D32" s="19" t="str">
        <f>IF(ISERROR(VLOOKUP($A32,通讯录!$A:$H,5,FALSE)&amp;""),"",VLOOKUP($A32,通讯录!$A:$H,5,FALSE)&amp;"")</f>
        <v/>
      </c>
      <c r="E32" s="19" t="str">
        <f>IF(ISERROR(VLOOKUP($A32,通讯录!$A:$H,6,FALSE)&amp;""),"",VLOOKUP($A32,通讯录!$A:$H,6,FALSE)&amp;"")</f>
        <v/>
      </c>
      <c r="F32" s="19" t="str">
        <f>IF(ISERROR(VLOOKUP($A32,通讯录!$A:$H,4,FALSE)&amp;""),"",VLOOKUP($A32,通讯录!$A:$H,4,FALSE)&amp;"")</f>
        <v/>
      </c>
      <c r="G32" s="19" t="str">
        <f>IF(ISERROR(VLOOKUP($A32,通讯录!$A:$H,8,FALSE)&amp;""),"",VLOOKUP($A32,通讯录!$A:$H,8,FALSE)&amp;"")</f>
        <v/>
      </c>
      <c r="K32" s="29" t="str">
        <f t="shared" si="0"/>
        <v/>
      </c>
      <c r="L32" s="29" t="str">
        <f t="shared" si="1"/>
        <v/>
      </c>
      <c r="M32" s="29" t="str">
        <f t="shared" si="2"/>
        <v/>
      </c>
      <c r="N32" s="29"/>
      <c r="O32" s="29"/>
      <c r="P32" s="29"/>
      <c r="Q32" s="29"/>
      <c r="R32" s="29"/>
    </row>
    <row r="33" s="19" customFormat="1" ht="26.1" customHeight="1" spans="2:18">
      <c r="B33" s="19" t="str">
        <f>IF(ISERROR(VLOOKUP($A33,通讯录!$A:$H,3,FALSE)&amp;""),"",VLOOKUP($A33,通讯录!$A:$H,3,FALSE)&amp;"")</f>
        <v/>
      </c>
      <c r="C33" s="19" t="str">
        <f>IF(ISERROR(VLOOKUP($A33,通讯录!$A:$H,7,FALSE)&amp;""),"",VLOOKUP($A33,通讯录!$A:$H,7,FALSE)&amp;"")</f>
        <v/>
      </c>
      <c r="D33" s="19" t="str">
        <f>IF(ISERROR(VLOOKUP($A33,通讯录!$A:$H,5,FALSE)&amp;""),"",VLOOKUP($A33,通讯录!$A:$H,5,FALSE)&amp;"")</f>
        <v/>
      </c>
      <c r="E33" s="19" t="str">
        <f>IF(ISERROR(VLOOKUP($A33,通讯录!$A:$H,6,FALSE)&amp;""),"",VLOOKUP($A33,通讯录!$A:$H,6,FALSE)&amp;"")</f>
        <v/>
      </c>
      <c r="F33" s="19" t="str">
        <f>IF(ISERROR(VLOOKUP($A33,通讯录!$A:$H,4,FALSE)&amp;""),"",VLOOKUP($A33,通讯录!$A:$H,4,FALSE)&amp;"")</f>
        <v/>
      </c>
      <c r="G33" s="19" t="str">
        <f>IF(ISERROR(VLOOKUP($A33,通讯录!$A:$H,8,FALSE)&amp;""),"",VLOOKUP($A33,通讯录!$A:$H,8,FALSE)&amp;"")</f>
        <v/>
      </c>
      <c r="K33" s="29" t="str">
        <f t="shared" si="0"/>
        <v/>
      </c>
      <c r="L33" s="29" t="str">
        <f t="shared" si="1"/>
        <v/>
      </c>
      <c r="M33" s="29" t="str">
        <f t="shared" si="2"/>
        <v/>
      </c>
      <c r="N33" s="29"/>
      <c r="O33" s="29"/>
      <c r="P33" s="29"/>
      <c r="Q33" s="29"/>
      <c r="R33" s="29"/>
    </row>
    <row r="34" s="19" customFormat="1" ht="26.1" customHeight="1" spans="2:18">
      <c r="B34" s="19" t="str">
        <f>IF(ISERROR(VLOOKUP($A34,通讯录!$A:$H,3,FALSE)&amp;""),"",VLOOKUP($A34,通讯录!$A:$H,3,FALSE)&amp;"")</f>
        <v/>
      </c>
      <c r="C34" s="19" t="str">
        <f>IF(ISERROR(VLOOKUP($A34,通讯录!$A:$H,7,FALSE)&amp;""),"",VLOOKUP($A34,通讯录!$A:$H,7,FALSE)&amp;"")</f>
        <v/>
      </c>
      <c r="D34" s="19" t="str">
        <f>IF(ISERROR(VLOOKUP($A34,通讯录!$A:$H,5,FALSE)&amp;""),"",VLOOKUP($A34,通讯录!$A:$H,5,FALSE)&amp;"")</f>
        <v/>
      </c>
      <c r="E34" s="19" t="str">
        <f>IF(ISERROR(VLOOKUP($A34,通讯录!$A:$H,6,FALSE)&amp;""),"",VLOOKUP($A34,通讯录!$A:$H,6,FALSE)&amp;"")</f>
        <v/>
      </c>
      <c r="F34" s="19" t="str">
        <f>IF(ISERROR(VLOOKUP($A34,通讯录!$A:$H,4,FALSE)&amp;""),"",VLOOKUP($A34,通讯录!$A:$H,4,FALSE)&amp;"")</f>
        <v/>
      </c>
      <c r="G34" s="19" t="str">
        <f>IF(ISERROR(VLOOKUP($A34,通讯录!$A:$H,8,FALSE)&amp;""),"",VLOOKUP($A34,通讯录!$A:$H,8,FALSE)&amp;"")</f>
        <v/>
      </c>
      <c r="K34" s="29" t="str">
        <f t="shared" si="0"/>
        <v/>
      </c>
      <c r="L34" s="29" t="str">
        <f t="shared" si="1"/>
        <v/>
      </c>
      <c r="M34" s="29" t="str">
        <f t="shared" si="2"/>
        <v/>
      </c>
      <c r="N34" s="29"/>
      <c r="O34" s="29"/>
      <c r="P34" s="29"/>
      <c r="Q34" s="29"/>
      <c r="R34" s="29"/>
    </row>
    <row r="35" s="19" customFormat="1" ht="26.1" customHeight="1" spans="2:18">
      <c r="B35" s="19" t="str">
        <f>IF(ISERROR(VLOOKUP($A35,通讯录!$A:$H,3,FALSE)&amp;""),"",VLOOKUP($A35,通讯录!$A:$H,3,FALSE)&amp;"")</f>
        <v/>
      </c>
      <c r="C35" s="19" t="str">
        <f>IF(ISERROR(VLOOKUP($A35,通讯录!$A:$H,7,FALSE)&amp;""),"",VLOOKUP($A35,通讯录!$A:$H,7,FALSE)&amp;"")</f>
        <v/>
      </c>
      <c r="D35" s="19" t="str">
        <f>IF(ISERROR(VLOOKUP($A35,通讯录!$A:$H,5,FALSE)&amp;""),"",VLOOKUP($A35,通讯录!$A:$H,5,FALSE)&amp;"")</f>
        <v/>
      </c>
      <c r="E35" s="19" t="str">
        <f>IF(ISERROR(VLOOKUP($A35,通讯录!$A:$H,6,FALSE)&amp;""),"",VLOOKUP($A35,通讯录!$A:$H,6,FALSE)&amp;"")</f>
        <v/>
      </c>
      <c r="F35" s="19" t="str">
        <f>IF(ISERROR(VLOOKUP($A35,通讯录!$A:$H,4,FALSE)&amp;""),"",VLOOKUP($A35,通讯录!$A:$H,4,FALSE)&amp;"")</f>
        <v/>
      </c>
      <c r="G35" s="19" t="str">
        <f>IF(ISERROR(VLOOKUP($A35,通讯录!$A:$H,8,FALSE)&amp;""),"",VLOOKUP($A35,通讯录!$A:$H,8,FALSE)&amp;"")</f>
        <v/>
      </c>
      <c r="K35" s="29" t="str">
        <f t="shared" si="0"/>
        <v/>
      </c>
      <c r="L35" s="29" t="str">
        <f t="shared" si="1"/>
        <v/>
      </c>
      <c r="M35" s="29" t="str">
        <f t="shared" si="2"/>
        <v/>
      </c>
      <c r="N35" s="29"/>
      <c r="O35" s="29"/>
      <c r="P35" s="29"/>
      <c r="Q35" s="29"/>
      <c r="R35" s="29"/>
    </row>
    <row r="36" s="19" customFormat="1" ht="26.1" customHeight="1" spans="2:18">
      <c r="B36" s="19" t="str">
        <f>IF(ISERROR(VLOOKUP($A36,通讯录!$A:$H,3,FALSE)&amp;""),"",VLOOKUP($A36,通讯录!$A:$H,3,FALSE)&amp;"")</f>
        <v/>
      </c>
      <c r="C36" s="19" t="str">
        <f>IF(ISERROR(VLOOKUP($A36,通讯录!$A:$H,7,FALSE)&amp;""),"",VLOOKUP($A36,通讯录!$A:$H,7,FALSE)&amp;"")</f>
        <v/>
      </c>
      <c r="D36" s="19" t="str">
        <f>IF(ISERROR(VLOOKUP($A36,通讯录!$A:$H,5,FALSE)&amp;""),"",VLOOKUP($A36,通讯录!$A:$H,5,FALSE)&amp;"")</f>
        <v/>
      </c>
      <c r="E36" s="19" t="str">
        <f>IF(ISERROR(VLOOKUP($A36,通讯录!$A:$H,6,FALSE)&amp;""),"",VLOOKUP($A36,通讯录!$A:$H,6,FALSE)&amp;"")</f>
        <v/>
      </c>
      <c r="F36" s="19" t="str">
        <f>IF(ISERROR(VLOOKUP($A36,通讯录!$A:$H,4,FALSE)&amp;""),"",VLOOKUP($A36,通讯录!$A:$H,4,FALSE)&amp;"")</f>
        <v/>
      </c>
      <c r="G36" s="19" t="str">
        <f>IF(ISERROR(VLOOKUP($A36,通讯录!$A:$H,8,FALSE)&amp;""),"",VLOOKUP($A36,通讯录!$A:$H,8,FALSE)&amp;"")</f>
        <v/>
      </c>
      <c r="K36" s="29" t="str">
        <f t="shared" si="0"/>
        <v/>
      </c>
      <c r="L36" s="29" t="str">
        <f t="shared" si="1"/>
        <v/>
      </c>
      <c r="M36" s="29" t="str">
        <f t="shared" si="2"/>
        <v/>
      </c>
      <c r="N36" s="29"/>
      <c r="O36" s="29"/>
      <c r="P36" s="29"/>
      <c r="Q36" s="29"/>
      <c r="R36" s="29"/>
    </row>
    <row r="37" s="19" customFormat="1" ht="26.1" customHeight="1" spans="2:18">
      <c r="B37" s="19" t="str">
        <f>IF(ISERROR(VLOOKUP($A37,通讯录!$A:$H,3,FALSE)&amp;""),"",VLOOKUP($A37,通讯录!$A:$H,3,FALSE)&amp;"")</f>
        <v/>
      </c>
      <c r="C37" s="19" t="str">
        <f>IF(ISERROR(VLOOKUP($A37,通讯录!$A:$H,7,FALSE)&amp;""),"",VLOOKUP($A37,通讯录!$A:$H,7,FALSE)&amp;"")</f>
        <v/>
      </c>
      <c r="D37" s="19" t="str">
        <f>IF(ISERROR(VLOOKUP($A37,通讯录!$A:$H,5,FALSE)&amp;""),"",VLOOKUP($A37,通讯录!$A:$H,5,FALSE)&amp;"")</f>
        <v/>
      </c>
      <c r="E37" s="19" t="str">
        <f>IF(ISERROR(VLOOKUP($A37,通讯录!$A:$H,6,FALSE)&amp;""),"",VLOOKUP($A37,通讯录!$A:$H,6,FALSE)&amp;"")</f>
        <v/>
      </c>
      <c r="F37" s="19" t="str">
        <f>IF(ISERROR(VLOOKUP($A37,通讯录!$A:$H,4,FALSE)&amp;""),"",VLOOKUP($A37,通讯录!$A:$H,4,FALSE)&amp;"")</f>
        <v/>
      </c>
      <c r="G37" s="19" t="str">
        <f>IF(ISERROR(VLOOKUP($A37,通讯录!$A:$H,8,FALSE)&amp;""),"",VLOOKUP($A37,通讯录!$A:$H,8,FALSE)&amp;"")</f>
        <v/>
      </c>
      <c r="K37" s="29" t="str">
        <f t="shared" si="0"/>
        <v/>
      </c>
      <c r="L37" s="29" t="str">
        <f t="shared" si="1"/>
        <v/>
      </c>
      <c r="M37" s="29"/>
      <c r="N37" s="29"/>
      <c r="O37" s="29"/>
      <c r="P37" s="29"/>
      <c r="Q37" s="29"/>
      <c r="R37" s="29"/>
    </row>
    <row r="38" s="19" customFormat="1" ht="26.1" customHeight="1" spans="2:18">
      <c r="B38" s="19" t="str">
        <f>IF(ISERROR(VLOOKUP($A38,通讯录!$A:$H,3,FALSE)&amp;""),"",VLOOKUP($A38,通讯录!$A:$H,3,FALSE)&amp;"")</f>
        <v/>
      </c>
      <c r="C38" s="19" t="str">
        <f>IF(ISERROR(VLOOKUP($A38,通讯录!$A:$H,7,FALSE)&amp;""),"",VLOOKUP($A38,通讯录!$A:$H,7,FALSE)&amp;"")</f>
        <v/>
      </c>
      <c r="D38" s="19" t="str">
        <f>IF(ISERROR(VLOOKUP($A38,通讯录!$A:$H,5,FALSE)&amp;""),"",VLOOKUP($A38,通讯录!$A:$H,5,FALSE)&amp;"")</f>
        <v/>
      </c>
      <c r="E38" s="19" t="str">
        <f>IF(ISERROR(VLOOKUP($A38,通讯录!$A:$H,6,FALSE)&amp;""),"",VLOOKUP($A38,通讯录!$A:$H,6,FALSE)&amp;"")</f>
        <v/>
      </c>
      <c r="F38" s="19" t="str">
        <f>IF(ISERROR(VLOOKUP($A38,通讯录!$A:$H,4,FALSE)&amp;""),"",VLOOKUP($A38,通讯录!$A:$H,4,FALSE)&amp;"")</f>
        <v/>
      </c>
      <c r="G38" s="19" t="str">
        <f>IF(ISERROR(VLOOKUP($A38,通讯录!$A:$H,8,FALSE)&amp;""),"",VLOOKUP($A38,通讯录!$A:$H,8,FALSE)&amp;"")</f>
        <v/>
      </c>
      <c r="K38" s="29" t="str">
        <f t="shared" si="0"/>
        <v/>
      </c>
      <c r="L38" s="29" t="str">
        <f t="shared" si="1"/>
        <v/>
      </c>
      <c r="M38" s="29"/>
      <c r="N38" s="29"/>
      <c r="O38" s="29"/>
      <c r="P38" s="29"/>
      <c r="Q38" s="29"/>
      <c r="R38" s="29"/>
    </row>
    <row r="39" s="19" customFormat="1" ht="26.1" customHeight="1" spans="2:18">
      <c r="B39" s="19" t="str">
        <f>IF(ISERROR(VLOOKUP($A39,通讯录!$A:$H,3,FALSE)&amp;""),"",VLOOKUP($A39,通讯录!$A:$H,3,FALSE)&amp;"")</f>
        <v/>
      </c>
      <c r="C39" s="19" t="str">
        <f>IF(ISERROR(VLOOKUP($A39,通讯录!$A:$H,7,FALSE)&amp;""),"",VLOOKUP($A39,通讯录!$A:$H,7,FALSE)&amp;"")</f>
        <v/>
      </c>
      <c r="D39" s="19" t="str">
        <f>IF(ISERROR(VLOOKUP($A39,通讯录!$A:$H,5,FALSE)&amp;""),"",VLOOKUP($A39,通讯录!$A:$H,5,FALSE)&amp;"")</f>
        <v/>
      </c>
      <c r="E39" s="19" t="str">
        <f>IF(ISERROR(VLOOKUP($A39,通讯录!$A:$H,6,FALSE)&amp;""),"",VLOOKUP($A39,通讯录!$A:$H,6,FALSE)&amp;"")</f>
        <v/>
      </c>
      <c r="F39" s="19" t="str">
        <f>IF(ISERROR(VLOOKUP($A39,通讯录!$A:$H,4,FALSE)&amp;""),"",VLOOKUP($A39,通讯录!$A:$H,4,FALSE)&amp;"")</f>
        <v/>
      </c>
      <c r="G39" s="19" t="str">
        <f>IF(ISERROR(VLOOKUP($A39,通讯录!$A:$H,8,FALSE)&amp;""),"",VLOOKUP($A39,通讯录!$A:$H,8,FALSE)&amp;"")</f>
        <v/>
      </c>
      <c r="K39" s="29" t="str">
        <f t="shared" si="0"/>
        <v/>
      </c>
      <c r="L39" s="29" t="str">
        <f t="shared" ref="L39:L102" si="3">LEFT(A39,1)</f>
        <v/>
      </c>
      <c r="M39" s="29"/>
      <c r="N39" s="29"/>
      <c r="O39" s="29"/>
      <c r="P39" s="29"/>
      <c r="Q39" s="29"/>
      <c r="R39" s="29"/>
    </row>
    <row r="40" s="19" customFormat="1" ht="26.1" customHeight="1" spans="2:18">
      <c r="B40" s="19" t="str">
        <f>IF(ISERROR(VLOOKUP($A40,通讯录!$A:$H,3,FALSE)&amp;""),"",VLOOKUP($A40,通讯录!$A:$H,3,FALSE)&amp;"")</f>
        <v/>
      </c>
      <c r="C40" s="19" t="str">
        <f>IF(ISERROR(VLOOKUP($A40,通讯录!$A:$H,7,FALSE)&amp;""),"",VLOOKUP($A40,通讯录!$A:$H,7,FALSE)&amp;"")</f>
        <v/>
      </c>
      <c r="D40" s="19" t="str">
        <f>IF(ISERROR(VLOOKUP($A40,通讯录!$A:$H,5,FALSE)&amp;""),"",VLOOKUP($A40,通讯录!$A:$H,5,FALSE)&amp;"")</f>
        <v/>
      </c>
      <c r="E40" s="19" t="str">
        <f>IF(ISERROR(VLOOKUP($A40,通讯录!$A:$H,6,FALSE)&amp;""),"",VLOOKUP($A40,通讯录!$A:$H,6,FALSE)&amp;"")</f>
        <v/>
      </c>
      <c r="F40" s="19" t="str">
        <f>IF(ISERROR(VLOOKUP($A40,通讯录!$A:$H,4,FALSE)&amp;""),"",VLOOKUP($A40,通讯录!$A:$H,4,FALSE)&amp;"")</f>
        <v/>
      </c>
      <c r="G40" s="19" t="str">
        <f>IF(ISERROR(VLOOKUP($A40,通讯录!$A:$H,8,FALSE)&amp;""),"",VLOOKUP($A40,通讯录!$A:$H,8,FALSE)&amp;"")</f>
        <v/>
      </c>
      <c r="K40" s="29" t="str">
        <f t="shared" si="0"/>
        <v/>
      </c>
      <c r="L40" s="29" t="str">
        <f t="shared" si="3"/>
        <v/>
      </c>
      <c r="M40" s="29"/>
      <c r="N40" s="29"/>
      <c r="O40" s="29"/>
      <c r="P40" s="29"/>
      <c r="Q40" s="29"/>
      <c r="R40" s="29"/>
    </row>
    <row r="41" s="19" customFormat="1" ht="26.1" customHeight="1" spans="2:18">
      <c r="B41" s="19" t="str">
        <f>IF(ISERROR(VLOOKUP($A41,通讯录!$A:$H,3,FALSE)&amp;""),"",VLOOKUP($A41,通讯录!$A:$H,3,FALSE)&amp;"")</f>
        <v/>
      </c>
      <c r="C41" s="19" t="str">
        <f>IF(ISERROR(VLOOKUP($A41,通讯录!$A:$H,7,FALSE)&amp;""),"",VLOOKUP($A41,通讯录!$A:$H,7,FALSE)&amp;"")</f>
        <v/>
      </c>
      <c r="D41" s="19" t="str">
        <f>IF(ISERROR(VLOOKUP($A41,通讯录!$A:$H,5,FALSE)&amp;""),"",VLOOKUP($A41,通讯录!$A:$H,5,FALSE)&amp;"")</f>
        <v/>
      </c>
      <c r="E41" s="19" t="str">
        <f>IF(ISERROR(VLOOKUP($A41,通讯录!$A:$H,6,FALSE)&amp;""),"",VLOOKUP($A41,通讯录!$A:$H,6,FALSE)&amp;"")</f>
        <v/>
      </c>
      <c r="F41" s="19" t="str">
        <f>IF(ISERROR(VLOOKUP($A41,通讯录!$A:$H,4,FALSE)&amp;""),"",VLOOKUP($A41,通讯录!$A:$H,4,FALSE)&amp;"")</f>
        <v/>
      </c>
      <c r="G41" s="19" t="str">
        <f>IF(ISERROR(VLOOKUP($A41,通讯录!$A:$H,8,FALSE)&amp;""),"",VLOOKUP($A41,通讯录!$A:$H,8,FALSE)&amp;"")</f>
        <v/>
      </c>
      <c r="K41" s="29" t="str">
        <f t="shared" si="0"/>
        <v/>
      </c>
      <c r="L41" s="29" t="str">
        <f t="shared" si="3"/>
        <v/>
      </c>
      <c r="M41" s="29"/>
      <c r="N41" s="29"/>
      <c r="O41" s="29"/>
      <c r="P41" s="29"/>
      <c r="Q41" s="29"/>
      <c r="R41" s="29"/>
    </row>
    <row r="42" s="19" customFormat="1" ht="26.1" customHeight="1" spans="2:18">
      <c r="B42" s="19" t="str">
        <f>IF(ISERROR(VLOOKUP($A42,通讯录!$A:$H,3,FALSE)&amp;""),"",VLOOKUP($A42,通讯录!$A:$H,3,FALSE)&amp;"")</f>
        <v/>
      </c>
      <c r="C42" s="19" t="str">
        <f>IF(ISERROR(VLOOKUP($A42,通讯录!$A:$H,7,FALSE)&amp;""),"",VLOOKUP($A42,通讯录!$A:$H,7,FALSE)&amp;"")</f>
        <v/>
      </c>
      <c r="D42" s="19" t="str">
        <f>IF(ISERROR(VLOOKUP($A42,通讯录!$A:$H,5,FALSE)&amp;""),"",VLOOKUP($A42,通讯录!$A:$H,5,FALSE)&amp;"")</f>
        <v/>
      </c>
      <c r="E42" s="19" t="str">
        <f>IF(ISERROR(VLOOKUP($A42,通讯录!$A:$H,6,FALSE)&amp;""),"",VLOOKUP($A42,通讯录!$A:$H,6,FALSE)&amp;"")</f>
        <v/>
      </c>
      <c r="F42" s="19" t="str">
        <f>IF(ISERROR(VLOOKUP($A42,通讯录!$A:$H,4,FALSE)&amp;""),"",VLOOKUP($A42,通讯录!$A:$H,4,FALSE)&amp;"")</f>
        <v/>
      </c>
      <c r="G42" s="19" t="str">
        <f>IF(ISERROR(VLOOKUP($A42,通讯录!$A:$H,8,FALSE)&amp;""),"",VLOOKUP($A42,通讯录!$A:$H,8,FALSE)&amp;"")</f>
        <v/>
      </c>
      <c r="K42" s="29" t="str">
        <f t="shared" si="0"/>
        <v/>
      </c>
      <c r="L42" s="29" t="str">
        <f t="shared" si="3"/>
        <v/>
      </c>
      <c r="M42" s="29"/>
      <c r="N42" s="29"/>
      <c r="O42" s="29"/>
      <c r="P42" s="29"/>
      <c r="Q42" s="29"/>
      <c r="R42" s="29"/>
    </row>
    <row r="43" s="19" customFormat="1" ht="26.1" customHeight="1" spans="2:18">
      <c r="B43" s="19" t="str">
        <f>IF(ISERROR(VLOOKUP($A43,通讯录!$A:$H,3,FALSE)&amp;""),"",VLOOKUP($A43,通讯录!$A:$H,3,FALSE)&amp;"")</f>
        <v/>
      </c>
      <c r="C43" s="19" t="str">
        <f>IF(ISERROR(VLOOKUP($A43,通讯录!$A:$H,7,FALSE)&amp;""),"",VLOOKUP($A43,通讯录!$A:$H,7,FALSE)&amp;"")</f>
        <v/>
      </c>
      <c r="D43" s="19" t="str">
        <f>IF(ISERROR(VLOOKUP($A43,通讯录!$A:$H,5,FALSE)&amp;""),"",VLOOKUP($A43,通讯录!$A:$H,5,FALSE)&amp;"")</f>
        <v/>
      </c>
      <c r="E43" s="19" t="str">
        <f>IF(ISERROR(VLOOKUP($A43,通讯录!$A:$H,6,FALSE)&amp;""),"",VLOOKUP($A43,通讯录!$A:$H,6,FALSE)&amp;"")</f>
        <v/>
      </c>
      <c r="F43" s="19" t="str">
        <f>IF(ISERROR(VLOOKUP($A43,通讯录!$A:$H,4,FALSE)&amp;""),"",VLOOKUP($A43,通讯录!$A:$H,4,FALSE)&amp;"")</f>
        <v/>
      </c>
      <c r="G43" s="19" t="str">
        <f>IF(ISERROR(VLOOKUP($A43,通讯录!$A:$H,8,FALSE)&amp;""),"",VLOOKUP($A43,通讯录!$A:$H,8,FALSE)&amp;"")</f>
        <v/>
      </c>
      <c r="K43" s="29" t="str">
        <f t="shared" si="0"/>
        <v/>
      </c>
      <c r="L43" s="29" t="str">
        <f t="shared" si="3"/>
        <v/>
      </c>
      <c r="M43" s="29"/>
      <c r="N43" s="29"/>
      <c r="O43" s="29"/>
      <c r="P43" s="29"/>
      <c r="Q43" s="29"/>
      <c r="R43" s="29"/>
    </row>
    <row r="44" s="19" customFormat="1" ht="26.1" customHeight="1" spans="2:18">
      <c r="B44" s="19" t="str">
        <f>IF(ISERROR(VLOOKUP($A44,通讯录!$A:$H,3,FALSE)&amp;""),"",VLOOKUP($A44,通讯录!$A:$H,3,FALSE)&amp;"")</f>
        <v/>
      </c>
      <c r="C44" s="19" t="str">
        <f>IF(ISERROR(VLOOKUP($A44,通讯录!$A:$H,7,FALSE)&amp;""),"",VLOOKUP($A44,通讯录!$A:$H,7,FALSE)&amp;"")</f>
        <v/>
      </c>
      <c r="D44" s="19" t="str">
        <f>IF(ISERROR(VLOOKUP($A44,通讯录!$A:$H,5,FALSE)&amp;""),"",VLOOKUP($A44,通讯录!$A:$H,5,FALSE)&amp;"")</f>
        <v/>
      </c>
      <c r="E44" s="19" t="str">
        <f>IF(ISERROR(VLOOKUP($A44,通讯录!$A:$H,6,FALSE)&amp;""),"",VLOOKUP($A44,通讯录!$A:$H,6,FALSE)&amp;"")</f>
        <v/>
      </c>
      <c r="F44" s="19" t="str">
        <f>IF(ISERROR(VLOOKUP($A44,通讯录!$A:$H,4,FALSE)&amp;""),"",VLOOKUP($A44,通讯录!$A:$H,4,FALSE)&amp;"")</f>
        <v/>
      </c>
      <c r="G44" s="19" t="str">
        <f>IF(ISERROR(VLOOKUP($A44,通讯录!$A:$H,8,FALSE)&amp;""),"",VLOOKUP($A44,通讯录!$A:$H,8,FALSE)&amp;"")</f>
        <v/>
      </c>
      <c r="K44" s="29" t="str">
        <f t="shared" si="0"/>
        <v/>
      </c>
      <c r="L44" s="29" t="str">
        <f t="shared" si="3"/>
        <v/>
      </c>
      <c r="M44" s="29"/>
      <c r="N44" s="29"/>
      <c r="O44" s="29"/>
      <c r="P44" s="29"/>
      <c r="Q44" s="29"/>
      <c r="R44" s="29"/>
    </row>
    <row r="45" s="19" customFormat="1" ht="26.1" customHeight="1" spans="2:18">
      <c r="B45" s="19" t="str">
        <f>IF(ISERROR(VLOOKUP($A45,通讯录!$A:$H,3,FALSE)&amp;""),"",VLOOKUP($A45,通讯录!$A:$H,3,FALSE)&amp;"")</f>
        <v/>
      </c>
      <c r="C45" s="19" t="str">
        <f>IF(ISERROR(VLOOKUP($A45,通讯录!$A:$H,7,FALSE)&amp;""),"",VLOOKUP($A45,通讯录!$A:$H,7,FALSE)&amp;"")</f>
        <v/>
      </c>
      <c r="D45" s="19" t="str">
        <f>IF(ISERROR(VLOOKUP($A45,通讯录!$A:$H,5,FALSE)&amp;""),"",VLOOKUP($A45,通讯录!$A:$H,5,FALSE)&amp;"")</f>
        <v/>
      </c>
      <c r="E45" s="19" t="str">
        <f>IF(ISERROR(VLOOKUP($A45,通讯录!$A:$H,6,FALSE)&amp;""),"",VLOOKUP($A45,通讯录!$A:$H,6,FALSE)&amp;"")</f>
        <v/>
      </c>
      <c r="F45" s="19" t="str">
        <f>IF(ISERROR(VLOOKUP($A45,通讯录!$A:$H,4,FALSE)&amp;""),"",VLOOKUP($A45,通讯录!$A:$H,4,FALSE)&amp;"")</f>
        <v/>
      </c>
      <c r="G45" s="19" t="str">
        <f>IF(ISERROR(VLOOKUP($A45,通讯录!$A:$H,8,FALSE)&amp;""),"",VLOOKUP($A45,通讯录!$A:$H,8,FALSE)&amp;"")</f>
        <v/>
      </c>
      <c r="K45" s="29" t="str">
        <f t="shared" si="0"/>
        <v/>
      </c>
      <c r="L45" s="29" t="str">
        <f t="shared" si="3"/>
        <v/>
      </c>
      <c r="M45" s="29"/>
      <c r="N45" s="29"/>
      <c r="O45" s="29"/>
      <c r="P45" s="29"/>
      <c r="Q45" s="29"/>
      <c r="R45" s="29"/>
    </row>
    <row r="46" s="19" customFormat="1" ht="26.1" customHeight="1" spans="2:18">
      <c r="B46" s="19" t="str">
        <f>IF(ISERROR(VLOOKUP($A46,通讯录!$A:$H,3,FALSE)&amp;""),"",VLOOKUP($A46,通讯录!$A:$H,3,FALSE)&amp;"")</f>
        <v/>
      </c>
      <c r="C46" s="19" t="str">
        <f>IF(ISERROR(VLOOKUP($A46,通讯录!$A:$H,7,FALSE)&amp;""),"",VLOOKUP($A46,通讯录!$A:$H,7,FALSE)&amp;"")</f>
        <v/>
      </c>
      <c r="D46" s="19" t="str">
        <f>IF(ISERROR(VLOOKUP($A46,通讯录!$A:$H,5,FALSE)&amp;""),"",VLOOKUP($A46,通讯录!$A:$H,5,FALSE)&amp;"")</f>
        <v/>
      </c>
      <c r="E46" s="19" t="str">
        <f>IF(ISERROR(VLOOKUP($A46,通讯录!$A:$H,6,FALSE)&amp;""),"",VLOOKUP($A46,通讯录!$A:$H,6,FALSE)&amp;"")</f>
        <v/>
      </c>
      <c r="F46" s="19" t="str">
        <f>IF(ISERROR(VLOOKUP($A46,通讯录!$A:$H,4,FALSE)&amp;""),"",VLOOKUP($A46,通讯录!$A:$H,4,FALSE)&amp;"")</f>
        <v/>
      </c>
      <c r="G46" s="19" t="str">
        <f>IF(ISERROR(VLOOKUP($A46,通讯录!$A:$H,8,FALSE)&amp;""),"",VLOOKUP($A46,通讯录!$A:$H,8,FALSE)&amp;"")</f>
        <v/>
      </c>
      <c r="K46" s="29" t="str">
        <f t="shared" si="0"/>
        <v/>
      </c>
      <c r="L46" s="29" t="str">
        <f t="shared" si="3"/>
        <v/>
      </c>
      <c r="M46" s="29"/>
      <c r="N46" s="29"/>
      <c r="O46" s="29"/>
      <c r="P46" s="29"/>
      <c r="Q46" s="29"/>
      <c r="R46" s="29"/>
    </row>
    <row r="47" s="19" customFormat="1" ht="26.1" customHeight="1" spans="2:18">
      <c r="B47" s="19" t="str">
        <f>IF(ISERROR(VLOOKUP($A47,通讯录!$A:$H,3,FALSE)&amp;""),"",VLOOKUP($A47,通讯录!$A:$H,3,FALSE)&amp;"")</f>
        <v/>
      </c>
      <c r="C47" s="19" t="str">
        <f>IF(ISERROR(VLOOKUP($A47,通讯录!$A:$H,7,FALSE)&amp;""),"",VLOOKUP($A47,通讯录!$A:$H,7,FALSE)&amp;"")</f>
        <v/>
      </c>
      <c r="D47" s="19" t="str">
        <f>IF(ISERROR(VLOOKUP($A47,通讯录!$A:$H,5,FALSE)&amp;""),"",VLOOKUP($A47,通讯录!$A:$H,5,FALSE)&amp;"")</f>
        <v/>
      </c>
      <c r="E47" s="19" t="str">
        <f>IF(ISERROR(VLOOKUP($A47,通讯录!$A:$H,6,FALSE)&amp;""),"",VLOOKUP($A47,通讯录!$A:$H,6,FALSE)&amp;"")</f>
        <v/>
      </c>
      <c r="F47" s="19" t="str">
        <f>IF(ISERROR(VLOOKUP($A47,通讯录!$A:$H,4,FALSE)&amp;""),"",VLOOKUP($A47,通讯录!$A:$H,4,FALSE)&amp;"")</f>
        <v/>
      </c>
      <c r="G47" s="19" t="str">
        <f>IF(ISERROR(VLOOKUP($A47,通讯录!$A:$H,8,FALSE)&amp;""),"",VLOOKUP($A47,通讯录!$A:$H,8,FALSE)&amp;"")</f>
        <v/>
      </c>
      <c r="K47" s="29" t="str">
        <f t="shared" si="0"/>
        <v/>
      </c>
      <c r="L47" s="29" t="str">
        <f t="shared" si="3"/>
        <v/>
      </c>
      <c r="M47" s="29"/>
      <c r="N47" s="29"/>
      <c r="O47" s="29"/>
      <c r="P47" s="29"/>
      <c r="Q47" s="29"/>
      <c r="R47" s="29"/>
    </row>
    <row r="48" s="19" customFormat="1" ht="26.1" customHeight="1" spans="2:18">
      <c r="B48" s="19" t="str">
        <f>IF(ISERROR(VLOOKUP($A48,通讯录!$A:$H,3,FALSE)&amp;""),"",VLOOKUP($A48,通讯录!$A:$H,3,FALSE)&amp;"")</f>
        <v/>
      </c>
      <c r="C48" s="19" t="str">
        <f>IF(ISERROR(VLOOKUP($A48,通讯录!$A:$H,7,FALSE)&amp;""),"",VLOOKUP($A48,通讯录!$A:$H,7,FALSE)&amp;"")</f>
        <v/>
      </c>
      <c r="D48" s="19" t="str">
        <f>IF(ISERROR(VLOOKUP($A48,通讯录!$A:$H,5,FALSE)&amp;""),"",VLOOKUP($A48,通讯录!$A:$H,5,FALSE)&amp;"")</f>
        <v/>
      </c>
      <c r="E48" s="19" t="str">
        <f>IF(ISERROR(VLOOKUP($A48,通讯录!$A:$H,6,FALSE)&amp;""),"",VLOOKUP($A48,通讯录!$A:$H,6,FALSE)&amp;"")</f>
        <v/>
      </c>
      <c r="F48" s="19" t="str">
        <f>IF(ISERROR(VLOOKUP($A48,通讯录!$A:$H,4,FALSE)&amp;""),"",VLOOKUP($A48,通讯录!$A:$H,4,FALSE)&amp;"")</f>
        <v/>
      </c>
      <c r="G48" s="19" t="str">
        <f>IF(ISERROR(VLOOKUP($A48,通讯录!$A:$H,8,FALSE)&amp;""),"",VLOOKUP($A48,通讯录!$A:$H,8,FALSE)&amp;"")</f>
        <v/>
      </c>
      <c r="K48" s="29" t="str">
        <f t="shared" si="0"/>
        <v/>
      </c>
      <c r="L48" s="29" t="str">
        <f t="shared" si="3"/>
        <v/>
      </c>
      <c r="M48" s="29"/>
      <c r="N48" s="29"/>
      <c r="O48" s="29"/>
      <c r="P48" s="29"/>
      <c r="Q48" s="29"/>
      <c r="R48" s="29"/>
    </row>
    <row r="49" s="19" customFormat="1" ht="26.1" customHeight="1" spans="2:18">
      <c r="B49" s="19" t="str">
        <f>IF(ISERROR(VLOOKUP($A49,通讯录!$A:$H,3,FALSE)&amp;""),"",VLOOKUP($A49,通讯录!$A:$H,3,FALSE)&amp;"")</f>
        <v/>
      </c>
      <c r="C49" s="19" t="str">
        <f>IF(ISERROR(VLOOKUP($A49,通讯录!$A:$H,7,FALSE)&amp;""),"",VLOOKUP($A49,通讯录!$A:$H,7,FALSE)&amp;"")</f>
        <v/>
      </c>
      <c r="D49" s="19" t="str">
        <f>IF(ISERROR(VLOOKUP($A49,通讯录!$A:$H,5,FALSE)&amp;""),"",VLOOKUP($A49,通讯录!$A:$H,5,FALSE)&amp;"")</f>
        <v/>
      </c>
      <c r="E49" s="19" t="str">
        <f>IF(ISERROR(VLOOKUP($A49,通讯录!$A:$H,6,FALSE)&amp;""),"",VLOOKUP($A49,通讯录!$A:$H,6,FALSE)&amp;"")</f>
        <v/>
      </c>
      <c r="F49" s="19" t="str">
        <f>IF(ISERROR(VLOOKUP($A49,通讯录!$A:$H,4,FALSE)&amp;""),"",VLOOKUP($A49,通讯录!$A:$H,4,FALSE)&amp;"")</f>
        <v/>
      </c>
      <c r="G49" s="19" t="str">
        <f>IF(ISERROR(VLOOKUP($A49,通讯录!$A:$H,8,FALSE)&amp;""),"",VLOOKUP($A49,通讯录!$A:$H,8,FALSE)&amp;"")</f>
        <v/>
      </c>
      <c r="K49" s="29" t="str">
        <f t="shared" si="0"/>
        <v/>
      </c>
      <c r="L49" s="29" t="str">
        <f t="shared" si="3"/>
        <v/>
      </c>
      <c r="M49" s="29"/>
      <c r="N49" s="29"/>
      <c r="O49" s="29"/>
      <c r="P49" s="29"/>
      <c r="Q49" s="29"/>
      <c r="R49" s="29"/>
    </row>
    <row r="50" s="19" customFormat="1" ht="26.1" customHeight="1" spans="2:18">
      <c r="B50" s="19" t="str">
        <f>IF(ISERROR(VLOOKUP($A50,通讯录!$A:$H,3,FALSE)&amp;""),"",VLOOKUP($A50,通讯录!$A:$H,3,FALSE)&amp;"")</f>
        <v/>
      </c>
      <c r="C50" s="19" t="str">
        <f>IF(ISERROR(VLOOKUP($A50,通讯录!$A:$H,7,FALSE)&amp;""),"",VLOOKUP($A50,通讯录!$A:$H,7,FALSE)&amp;"")</f>
        <v/>
      </c>
      <c r="D50" s="19" t="str">
        <f>IF(ISERROR(VLOOKUP($A50,通讯录!$A:$H,5,FALSE)&amp;""),"",VLOOKUP($A50,通讯录!$A:$H,5,FALSE)&amp;"")</f>
        <v/>
      </c>
      <c r="E50" s="19" t="str">
        <f>IF(ISERROR(VLOOKUP($A50,通讯录!$A:$H,6,FALSE)&amp;""),"",VLOOKUP($A50,通讯录!$A:$H,6,FALSE)&amp;"")</f>
        <v/>
      </c>
      <c r="F50" s="19" t="str">
        <f>IF(ISERROR(VLOOKUP($A50,通讯录!$A:$H,4,FALSE)&amp;""),"",VLOOKUP($A50,通讯录!$A:$H,4,FALSE)&amp;"")</f>
        <v/>
      </c>
      <c r="G50" s="19" t="str">
        <f>IF(ISERROR(VLOOKUP($A50,通讯录!$A:$H,8,FALSE)&amp;""),"",VLOOKUP($A50,通讯录!$A:$H,8,FALSE)&amp;"")</f>
        <v/>
      </c>
      <c r="K50" s="29" t="str">
        <f t="shared" si="0"/>
        <v/>
      </c>
      <c r="L50" s="29" t="str">
        <f t="shared" si="3"/>
        <v/>
      </c>
      <c r="M50" s="29"/>
      <c r="N50" s="29"/>
      <c r="O50" s="29"/>
      <c r="P50" s="29"/>
      <c r="Q50" s="29"/>
      <c r="R50" s="29"/>
    </row>
    <row r="51" s="19" customFormat="1" ht="26.1" customHeight="1" spans="2:18">
      <c r="B51" s="19" t="str">
        <f>IF(ISERROR(VLOOKUP($A51,通讯录!$A:$H,3,FALSE)&amp;""),"",VLOOKUP($A51,通讯录!$A:$H,3,FALSE)&amp;"")</f>
        <v/>
      </c>
      <c r="C51" s="19" t="str">
        <f>IF(ISERROR(VLOOKUP($A51,通讯录!$A:$H,7,FALSE)&amp;""),"",VLOOKUP($A51,通讯录!$A:$H,7,FALSE)&amp;"")</f>
        <v/>
      </c>
      <c r="D51" s="19" t="str">
        <f>IF(ISERROR(VLOOKUP($A51,通讯录!$A:$H,5,FALSE)&amp;""),"",VLOOKUP($A51,通讯录!$A:$H,5,FALSE)&amp;"")</f>
        <v/>
      </c>
      <c r="E51" s="19" t="str">
        <f>IF(ISERROR(VLOOKUP($A51,通讯录!$A:$H,6,FALSE)&amp;""),"",VLOOKUP($A51,通讯录!$A:$H,6,FALSE)&amp;"")</f>
        <v/>
      </c>
      <c r="F51" s="19" t="str">
        <f>IF(ISERROR(VLOOKUP($A51,通讯录!$A:$H,4,FALSE)&amp;""),"",VLOOKUP($A51,通讯录!$A:$H,4,FALSE)&amp;"")</f>
        <v/>
      </c>
      <c r="G51" s="19" t="str">
        <f>IF(ISERROR(VLOOKUP($A51,通讯录!$A:$H,8,FALSE)&amp;""),"",VLOOKUP($A51,通讯录!$A:$H,8,FALSE)&amp;"")</f>
        <v/>
      </c>
      <c r="K51" s="29" t="str">
        <f t="shared" si="0"/>
        <v/>
      </c>
      <c r="L51" s="29" t="str">
        <f t="shared" si="3"/>
        <v/>
      </c>
      <c r="M51" s="29"/>
      <c r="N51" s="29"/>
      <c r="O51" s="29"/>
      <c r="P51" s="29"/>
      <c r="Q51" s="29"/>
      <c r="R51" s="29"/>
    </row>
    <row r="52" s="17" customFormat="1" ht="26.1" customHeight="1" spans="1:18">
      <c r="A52" s="25"/>
      <c r="B52" s="17" t="str">
        <f>IF(ISERROR(VLOOKUP($A52,通讯录!$A:$H,3,FALSE)&amp;""),"",VLOOKUP($A52,通讯录!$A:$H,3,FALSE)&amp;"")</f>
        <v/>
      </c>
      <c r="C52" s="17" t="str">
        <f>IF(ISERROR(VLOOKUP($A52,通讯录!$A:$H,7,FALSE)&amp;""),"",VLOOKUP($A52,通讯录!$A:$H,7,FALSE)&amp;"")</f>
        <v/>
      </c>
      <c r="D52" s="17" t="str">
        <f>IF(ISERROR(VLOOKUP($A52,通讯录!$A:$H,5,FALSE)&amp;""),"",VLOOKUP($A52,通讯录!$A:$H,5,FALSE)&amp;"")</f>
        <v/>
      </c>
      <c r="E52" s="17" t="str">
        <f>IF(ISERROR(VLOOKUP($A52,通讯录!$A:$H,6,FALSE)&amp;""),"",VLOOKUP($A52,通讯录!$A:$H,6,FALSE)&amp;"")</f>
        <v/>
      </c>
      <c r="F52" s="17" t="str">
        <f>IF(ISERROR(VLOOKUP($A52,通讯录!$A:$H,4,FALSE)&amp;""),"",VLOOKUP($A52,通讯录!$A:$H,4,FALSE)&amp;"")</f>
        <v/>
      </c>
      <c r="G52" s="17" t="str">
        <f>IF(ISERROR(VLOOKUP($A52,通讯录!$A:$H,8,FALSE)&amp;""),"",VLOOKUP($A52,通讯录!$A:$H,8,FALSE)&amp;"")</f>
        <v/>
      </c>
      <c r="K52" s="26" t="str">
        <f t="shared" si="0"/>
        <v/>
      </c>
      <c r="L52" s="26" t="str">
        <f t="shared" si="3"/>
        <v/>
      </c>
      <c r="M52" s="26"/>
      <c r="N52" s="26"/>
      <c r="O52" s="26"/>
      <c r="P52" s="26"/>
      <c r="Q52" s="26"/>
      <c r="R52" s="26"/>
    </row>
    <row r="53" s="17" customFormat="1" ht="26.1" customHeight="1" spans="1:18">
      <c r="A53" s="25"/>
      <c r="B53" s="17" t="str">
        <f>IF(ISERROR(VLOOKUP($A53,通讯录!$A:$H,3,FALSE)&amp;""),"",VLOOKUP($A53,通讯录!$A:$H,3,FALSE)&amp;"")</f>
        <v/>
      </c>
      <c r="C53" s="17" t="str">
        <f>IF(ISERROR(VLOOKUP($A53,通讯录!$A:$H,7,FALSE)&amp;""),"",VLOOKUP($A53,通讯录!$A:$H,7,FALSE)&amp;"")</f>
        <v/>
      </c>
      <c r="D53" s="17" t="str">
        <f>IF(ISERROR(VLOOKUP($A53,通讯录!$A:$H,5,FALSE)&amp;""),"",VLOOKUP($A53,通讯录!$A:$H,5,FALSE)&amp;"")</f>
        <v/>
      </c>
      <c r="E53" s="17" t="str">
        <f>IF(ISERROR(VLOOKUP($A53,通讯录!$A:$H,6,FALSE)&amp;""),"",VLOOKUP($A53,通讯录!$A:$H,6,FALSE)&amp;"")</f>
        <v/>
      </c>
      <c r="F53" s="17" t="str">
        <f>IF(ISERROR(VLOOKUP($A53,通讯录!$A:$H,4,FALSE)&amp;""),"",VLOOKUP($A53,通讯录!$A:$H,4,FALSE)&amp;"")</f>
        <v/>
      </c>
      <c r="G53" s="17" t="str">
        <f>IF(ISERROR(VLOOKUP($A53,通讯录!$A:$H,8,FALSE)&amp;""),"",VLOOKUP($A53,通讯录!$A:$H,8,FALSE)&amp;"")</f>
        <v/>
      </c>
      <c r="K53" s="26" t="str">
        <f t="shared" si="0"/>
        <v/>
      </c>
      <c r="L53" s="26" t="str">
        <f t="shared" si="3"/>
        <v/>
      </c>
      <c r="M53" s="26"/>
      <c r="N53" s="26"/>
      <c r="O53" s="26"/>
      <c r="P53" s="26"/>
      <c r="Q53" s="26"/>
      <c r="R53" s="26"/>
    </row>
    <row r="54" s="17" customFormat="1" ht="26.1" customHeight="1" spans="1:18">
      <c r="A54" s="25"/>
      <c r="B54" s="17" t="str">
        <f>IF(ISERROR(VLOOKUP($A54,通讯录!$A:$H,3,FALSE)&amp;""),"",VLOOKUP($A54,通讯录!$A:$H,3,FALSE)&amp;"")</f>
        <v/>
      </c>
      <c r="C54" s="17" t="str">
        <f>IF(ISERROR(VLOOKUP($A54,通讯录!$A:$H,7,FALSE)&amp;""),"",VLOOKUP($A54,通讯录!$A:$H,7,FALSE)&amp;"")</f>
        <v/>
      </c>
      <c r="D54" s="17" t="str">
        <f>IF(ISERROR(VLOOKUP($A54,通讯录!$A:$H,5,FALSE)&amp;""),"",VLOOKUP($A54,通讯录!$A:$H,5,FALSE)&amp;"")</f>
        <v/>
      </c>
      <c r="E54" s="17" t="str">
        <f>IF(ISERROR(VLOOKUP($A54,通讯录!$A:$H,6,FALSE)&amp;""),"",VLOOKUP($A54,通讯录!$A:$H,6,FALSE)&amp;"")</f>
        <v/>
      </c>
      <c r="F54" s="17" t="str">
        <f>IF(ISERROR(VLOOKUP($A54,通讯录!$A:$H,4,FALSE)&amp;""),"",VLOOKUP($A54,通讯录!$A:$H,4,FALSE)&amp;"")</f>
        <v/>
      </c>
      <c r="G54" s="17" t="str">
        <f>IF(ISERROR(VLOOKUP($A54,通讯录!$A:$H,8,FALSE)&amp;""),"",VLOOKUP($A54,通讯录!$A:$H,8,FALSE)&amp;"")</f>
        <v/>
      </c>
      <c r="K54" s="26" t="str">
        <f t="shared" si="0"/>
        <v/>
      </c>
      <c r="L54" s="26" t="str">
        <f t="shared" si="3"/>
        <v/>
      </c>
      <c r="M54" s="26"/>
      <c r="N54" s="26"/>
      <c r="O54" s="26"/>
      <c r="P54" s="26"/>
      <c r="Q54" s="26"/>
      <c r="R54" s="26"/>
    </row>
    <row r="55" s="17" customFormat="1" ht="26.1" customHeight="1" spans="1:18">
      <c r="A55" s="25"/>
      <c r="B55" s="17" t="str">
        <f>IF(ISERROR(VLOOKUP($A55,通讯录!$A:$H,3,FALSE)&amp;""),"",VLOOKUP($A55,通讯录!$A:$H,3,FALSE)&amp;"")</f>
        <v/>
      </c>
      <c r="C55" s="17" t="str">
        <f>IF(ISERROR(VLOOKUP($A55,通讯录!$A:$H,7,FALSE)&amp;""),"",VLOOKUP($A55,通讯录!$A:$H,7,FALSE)&amp;"")</f>
        <v/>
      </c>
      <c r="D55" s="17" t="str">
        <f>IF(ISERROR(VLOOKUP($A55,通讯录!$A:$H,5,FALSE)&amp;""),"",VLOOKUP($A55,通讯录!$A:$H,5,FALSE)&amp;"")</f>
        <v/>
      </c>
      <c r="E55" s="17" t="str">
        <f>IF(ISERROR(VLOOKUP($A55,通讯录!$A:$H,6,FALSE)&amp;""),"",VLOOKUP($A55,通讯录!$A:$H,6,FALSE)&amp;"")</f>
        <v/>
      </c>
      <c r="F55" s="17" t="str">
        <f>IF(ISERROR(VLOOKUP($A55,通讯录!$A:$H,4,FALSE)&amp;""),"",VLOOKUP($A55,通讯录!$A:$H,4,FALSE)&amp;"")</f>
        <v/>
      </c>
      <c r="G55" s="17" t="str">
        <f>IF(ISERROR(VLOOKUP($A55,通讯录!$A:$H,8,FALSE)&amp;""),"",VLOOKUP($A55,通讯录!$A:$H,8,FALSE)&amp;"")</f>
        <v/>
      </c>
      <c r="K55" s="26" t="str">
        <f t="shared" si="0"/>
        <v/>
      </c>
      <c r="L55" s="26" t="str">
        <f t="shared" si="3"/>
        <v/>
      </c>
      <c r="M55" s="26"/>
      <c r="N55" s="26"/>
      <c r="O55" s="26"/>
      <c r="P55" s="26"/>
      <c r="Q55" s="26"/>
      <c r="R55" s="26"/>
    </row>
    <row r="56" s="17" customFormat="1" ht="26.1" customHeight="1" spans="1:18">
      <c r="A56" s="25"/>
      <c r="B56" s="17" t="str">
        <f>IF(ISERROR(VLOOKUP($A56,通讯录!$A:$H,3,FALSE)&amp;""),"",VLOOKUP($A56,通讯录!$A:$H,3,FALSE)&amp;"")</f>
        <v/>
      </c>
      <c r="C56" s="17" t="str">
        <f>IF(ISERROR(VLOOKUP($A56,通讯录!$A:$H,7,FALSE)&amp;""),"",VLOOKUP($A56,通讯录!$A:$H,7,FALSE)&amp;"")</f>
        <v/>
      </c>
      <c r="D56" s="17" t="str">
        <f>IF(ISERROR(VLOOKUP($A56,通讯录!$A:$H,5,FALSE)&amp;""),"",VLOOKUP($A56,通讯录!$A:$H,5,FALSE)&amp;"")</f>
        <v/>
      </c>
      <c r="E56" s="17" t="str">
        <f>IF(ISERROR(VLOOKUP($A56,通讯录!$A:$H,6,FALSE)&amp;""),"",VLOOKUP($A56,通讯录!$A:$H,6,FALSE)&amp;"")</f>
        <v/>
      </c>
      <c r="F56" s="17" t="str">
        <f>IF(ISERROR(VLOOKUP($A56,通讯录!$A:$H,4,FALSE)&amp;""),"",VLOOKUP($A56,通讯录!$A:$H,4,FALSE)&amp;"")</f>
        <v/>
      </c>
      <c r="G56" s="17" t="str">
        <f>IF(ISERROR(VLOOKUP($A56,通讯录!$A:$H,8,FALSE)&amp;""),"",VLOOKUP($A56,通讯录!$A:$H,8,FALSE)&amp;"")</f>
        <v/>
      </c>
      <c r="K56" s="26" t="str">
        <f t="shared" si="0"/>
        <v/>
      </c>
      <c r="L56" s="26" t="str">
        <f t="shared" si="3"/>
        <v/>
      </c>
      <c r="M56" s="26"/>
      <c r="N56" s="26"/>
      <c r="O56" s="26"/>
      <c r="P56" s="26"/>
      <c r="Q56" s="26"/>
      <c r="R56" s="26"/>
    </row>
    <row r="57" s="17" customFormat="1" ht="26.1" customHeight="1" spans="1:18">
      <c r="A57" s="25"/>
      <c r="B57" s="17" t="str">
        <f>IF(ISERROR(VLOOKUP($A57,通讯录!$A:$H,3,FALSE)&amp;""),"",VLOOKUP($A57,通讯录!$A:$H,3,FALSE)&amp;"")</f>
        <v/>
      </c>
      <c r="C57" s="17" t="str">
        <f>IF(ISERROR(VLOOKUP($A57,通讯录!$A:$H,7,FALSE)&amp;""),"",VLOOKUP($A57,通讯录!$A:$H,7,FALSE)&amp;"")</f>
        <v/>
      </c>
      <c r="D57" s="17" t="str">
        <f>IF(ISERROR(VLOOKUP($A57,通讯录!$A:$H,5,FALSE)&amp;""),"",VLOOKUP($A57,通讯录!$A:$H,5,FALSE)&amp;"")</f>
        <v/>
      </c>
      <c r="E57" s="17" t="str">
        <f>IF(ISERROR(VLOOKUP($A57,通讯录!$A:$H,6,FALSE)&amp;""),"",VLOOKUP($A57,通讯录!$A:$H,6,FALSE)&amp;"")</f>
        <v/>
      </c>
      <c r="F57" s="17" t="str">
        <f>IF(ISERROR(VLOOKUP($A57,通讯录!$A:$H,4,FALSE)&amp;""),"",VLOOKUP($A57,通讯录!$A:$H,4,FALSE)&amp;"")</f>
        <v/>
      </c>
      <c r="G57" s="17" t="str">
        <f>IF(ISERROR(VLOOKUP($A57,通讯录!$A:$H,8,FALSE)&amp;""),"",VLOOKUP($A57,通讯录!$A:$H,8,FALSE)&amp;"")</f>
        <v/>
      </c>
      <c r="K57" s="26" t="str">
        <f t="shared" si="0"/>
        <v/>
      </c>
      <c r="L57" s="26" t="str">
        <f t="shared" si="3"/>
        <v/>
      </c>
      <c r="M57" s="26"/>
      <c r="N57" s="26"/>
      <c r="O57" s="26"/>
      <c r="P57" s="26"/>
      <c r="Q57" s="26"/>
      <c r="R57" s="26"/>
    </row>
    <row r="58" s="17" customFormat="1" ht="26.1" customHeight="1" spans="1:18">
      <c r="A58" s="25"/>
      <c r="B58" s="17" t="str">
        <f>IF(ISERROR(VLOOKUP($A58,通讯录!$A:$H,3,FALSE)&amp;""),"",VLOOKUP($A58,通讯录!$A:$H,3,FALSE)&amp;"")</f>
        <v/>
      </c>
      <c r="C58" s="17" t="str">
        <f>IF(ISERROR(VLOOKUP($A58,通讯录!$A:$H,7,FALSE)&amp;""),"",VLOOKUP($A58,通讯录!$A:$H,7,FALSE)&amp;"")</f>
        <v/>
      </c>
      <c r="D58" s="17" t="str">
        <f>IF(ISERROR(VLOOKUP($A58,通讯录!$A:$H,5,FALSE)&amp;""),"",VLOOKUP($A58,通讯录!$A:$H,5,FALSE)&amp;"")</f>
        <v/>
      </c>
      <c r="E58" s="17" t="str">
        <f>IF(ISERROR(VLOOKUP($A58,通讯录!$A:$H,6,FALSE)&amp;""),"",VLOOKUP($A58,通讯录!$A:$H,6,FALSE)&amp;"")</f>
        <v/>
      </c>
      <c r="F58" s="17" t="str">
        <f>IF(ISERROR(VLOOKUP($A58,通讯录!$A:$H,4,FALSE)&amp;""),"",VLOOKUP($A58,通讯录!$A:$H,4,FALSE)&amp;"")</f>
        <v/>
      </c>
      <c r="G58" s="17" t="str">
        <f>IF(ISERROR(VLOOKUP($A58,通讯录!$A:$H,8,FALSE)&amp;""),"",VLOOKUP($A58,通讯录!$A:$H,8,FALSE)&amp;"")</f>
        <v/>
      </c>
      <c r="K58" s="26" t="str">
        <f t="shared" si="0"/>
        <v/>
      </c>
      <c r="L58" s="26" t="str">
        <f t="shared" si="3"/>
        <v/>
      </c>
      <c r="M58" s="26"/>
      <c r="N58" s="26"/>
      <c r="O58" s="26"/>
      <c r="P58" s="26"/>
      <c r="Q58" s="26"/>
      <c r="R58" s="26"/>
    </row>
    <row r="59" s="17" customFormat="1" ht="26.1" customHeight="1" spans="1:18">
      <c r="A59" s="25"/>
      <c r="B59" s="17" t="str">
        <f>IF(ISERROR(VLOOKUP($A59,通讯录!$A:$H,3,FALSE)&amp;""),"",VLOOKUP($A59,通讯录!$A:$H,3,FALSE)&amp;"")</f>
        <v/>
      </c>
      <c r="C59" s="17" t="str">
        <f>IF(ISERROR(VLOOKUP($A59,通讯录!$A:$H,7,FALSE)&amp;""),"",VLOOKUP($A59,通讯录!$A:$H,7,FALSE)&amp;"")</f>
        <v/>
      </c>
      <c r="D59" s="17" t="str">
        <f>IF(ISERROR(VLOOKUP($A59,通讯录!$A:$H,5,FALSE)&amp;""),"",VLOOKUP($A59,通讯录!$A:$H,5,FALSE)&amp;"")</f>
        <v/>
      </c>
      <c r="E59" s="17" t="str">
        <f>IF(ISERROR(VLOOKUP($A59,通讯录!$A:$H,6,FALSE)&amp;""),"",VLOOKUP($A59,通讯录!$A:$H,6,FALSE)&amp;"")</f>
        <v/>
      </c>
      <c r="F59" s="17" t="str">
        <f>IF(ISERROR(VLOOKUP($A59,通讯录!$A:$H,4,FALSE)&amp;""),"",VLOOKUP($A59,通讯录!$A:$H,4,FALSE)&amp;"")</f>
        <v/>
      </c>
      <c r="G59" s="17" t="str">
        <f>IF(ISERROR(VLOOKUP($A59,通讯录!$A:$H,8,FALSE)&amp;""),"",VLOOKUP($A59,通讯录!$A:$H,8,FALSE)&amp;"")</f>
        <v/>
      </c>
      <c r="K59" s="26" t="str">
        <f t="shared" si="0"/>
        <v/>
      </c>
      <c r="L59" s="26" t="str">
        <f t="shared" si="3"/>
        <v/>
      </c>
      <c r="M59" s="26"/>
      <c r="N59" s="26"/>
      <c r="O59" s="26"/>
      <c r="P59" s="26"/>
      <c r="Q59" s="26"/>
      <c r="R59" s="26"/>
    </row>
    <row r="60" s="17" customFormat="1" ht="26.1" customHeight="1" spans="1:18">
      <c r="A60" s="25"/>
      <c r="B60" s="17" t="str">
        <f>IF(ISERROR(VLOOKUP($A60,通讯录!$A:$H,3,FALSE)&amp;""),"",VLOOKUP($A60,通讯录!$A:$H,3,FALSE)&amp;"")</f>
        <v/>
      </c>
      <c r="C60" s="17" t="str">
        <f>IF(ISERROR(VLOOKUP($A60,通讯录!$A:$H,7,FALSE)&amp;""),"",VLOOKUP($A60,通讯录!$A:$H,7,FALSE)&amp;"")</f>
        <v/>
      </c>
      <c r="D60" s="17" t="str">
        <f>IF(ISERROR(VLOOKUP($A60,通讯录!$A:$H,5,FALSE)&amp;""),"",VLOOKUP($A60,通讯录!$A:$H,5,FALSE)&amp;"")</f>
        <v/>
      </c>
      <c r="E60" s="17" t="str">
        <f>IF(ISERROR(VLOOKUP($A60,通讯录!$A:$H,6,FALSE)&amp;""),"",VLOOKUP($A60,通讯录!$A:$H,6,FALSE)&amp;"")</f>
        <v/>
      </c>
      <c r="F60" s="17" t="str">
        <f>IF(ISERROR(VLOOKUP($A60,通讯录!$A:$H,4,FALSE)&amp;""),"",VLOOKUP($A60,通讯录!$A:$H,4,FALSE)&amp;"")</f>
        <v/>
      </c>
      <c r="G60" s="17" t="str">
        <f>IF(ISERROR(VLOOKUP($A60,通讯录!$A:$H,8,FALSE)&amp;""),"",VLOOKUP($A60,通讯录!$A:$H,8,FALSE)&amp;"")</f>
        <v/>
      </c>
      <c r="K60" s="26" t="str">
        <f t="shared" si="0"/>
        <v/>
      </c>
      <c r="L60" s="26" t="str">
        <f t="shared" si="3"/>
        <v/>
      </c>
      <c r="M60" s="26"/>
      <c r="N60" s="26"/>
      <c r="O60" s="26"/>
      <c r="P60" s="26"/>
      <c r="Q60" s="26"/>
      <c r="R60" s="26"/>
    </row>
    <row r="61" s="17" customFormat="1" spans="1:18">
      <c r="A61" s="25"/>
      <c r="B61" s="17" t="str">
        <f>IF(ISERROR(VLOOKUP($A61,通讯录!$A:$H,3,FALSE)&amp;""),"",VLOOKUP($A61,通讯录!$A:$H,3,FALSE)&amp;"")</f>
        <v/>
      </c>
      <c r="C61" s="17" t="str">
        <f>IF(ISERROR(VLOOKUP($A61,通讯录!$A:$H,7,FALSE)&amp;""),"",VLOOKUP($A61,通讯录!$A:$H,7,FALSE)&amp;"")</f>
        <v/>
      </c>
      <c r="D61" s="17" t="str">
        <f>IF(ISERROR(VLOOKUP($A61,通讯录!$A:$H,5,FALSE)&amp;""),"",VLOOKUP($A61,通讯录!$A:$H,5,FALSE)&amp;"")</f>
        <v/>
      </c>
      <c r="E61" s="17" t="str">
        <f>IF(ISERROR(VLOOKUP($A61,通讯录!$A:$H,6,FALSE)&amp;""),"",VLOOKUP($A61,通讯录!$A:$H,6,FALSE)&amp;"")</f>
        <v/>
      </c>
      <c r="F61" s="17" t="str">
        <f>IF(ISERROR(VLOOKUP($A61,通讯录!$A:$H,4,FALSE)&amp;""),"",VLOOKUP($A61,通讯录!$A:$H,4,FALSE)&amp;"")</f>
        <v/>
      </c>
      <c r="G61" s="17" t="str">
        <f>IF(ISERROR(VLOOKUP($A61,通讯录!$A:$H,8,FALSE)&amp;""),"",VLOOKUP($A61,通讯录!$A:$H,8,FALSE)&amp;"")</f>
        <v/>
      </c>
      <c r="K61" s="26" t="str">
        <f t="shared" si="0"/>
        <v/>
      </c>
      <c r="L61" s="26" t="str">
        <f t="shared" si="3"/>
        <v/>
      </c>
      <c r="M61" s="26"/>
      <c r="N61" s="26"/>
      <c r="O61" s="26"/>
      <c r="P61" s="26"/>
      <c r="Q61" s="26"/>
      <c r="R61" s="26"/>
    </row>
    <row r="62" s="17" customFormat="1" spans="1:18">
      <c r="A62" s="25"/>
      <c r="B62" s="17" t="str">
        <f>IF(ISERROR(VLOOKUP($A62,通讯录!$A:$H,3,FALSE)&amp;""),"",VLOOKUP($A62,通讯录!$A:$H,3,FALSE)&amp;"")</f>
        <v/>
      </c>
      <c r="C62" s="17" t="str">
        <f>IF(ISERROR(VLOOKUP($A62,通讯录!$A:$H,7,FALSE)&amp;""),"",VLOOKUP($A62,通讯录!$A:$H,7,FALSE)&amp;"")</f>
        <v/>
      </c>
      <c r="D62" s="17" t="str">
        <f>IF(ISERROR(VLOOKUP($A62,通讯录!$A:$H,5,FALSE)&amp;""),"",VLOOKUP($A62,通讯录!$A:$H,5,FALSE)&amp;"")</f>
        <v/>
      </c>
      <c r="E62" s="17" t="str">
        <f>IF(ISERROR(VLOOKUP($A62,通讯录!$A:$H,6,FALSE)&amp;""),"",VLOOKUP($A62,通讯录!$A:$H,6,FALSE)&amp;"")</f>
        <v/>
      </c>
      <c r="F62" s="17" t="str">
        <f>IF(ISERROR(VLOOKUP($A62,通讯录!$A:$H,4,FALSE)&amp;""),"",VLOOKUP($A62,通讯录!$A:$H,4,FALSE)&amp;"")</f>
        <v/>
      </c>
      <c r="G62" s="17" t="str">
        <f>IF(ISERROR(VLOOKUP($A62,通讯录!$A:$H,8,FALSE)&amp;""),"",VLOOKUP($A62,通讯录!$A:$H,8,FALSE)&amp;"")</f>
        <v/>
      </c>
      <c r="K62" s="26" t="str">
        <f t="shared" si="0"/>
        <v/>
      </c>
      <c r="L62" s="26" t="str">
        <f t="shared" si="3"/>
        <v/>
      </c>
      <c r="M62" s="26"/>
      <c r="N62" s="26"/>
      <c r="O62" s="26"/>
      <c r="P62" s="26"/>
      <c r="Q62" s="26"/>
      <c r="R62" s="26"/>
    </row>
    <row r="63" s="17" customFormat="1" spans="1:18">
      <c r="A63" s="25"/>
      <c r="B63" s="17" t="str">
        <f>IF(ISERROR(VLOOKUP($A63,通讯录!$A:$H,3,FALSE)&amp;""),"",VLOOKUP($A63,通讯录!$A:$H,3,FALSE)&amp;"")</f>
        <v/>
      </c>
      <c r="C63" s="17" t="str">
        <f>IF(ISERROR(VLOOKUP($A63,通讯录!$A:$H,7,FALSE)&amp;""),"",VLOOKUP($A63,通讯录!$A:$H,7,FALSE)&amp;"")</f>
        <v/>
      </c>
      <c r="D63" s="17" t="str">
        <f>IF(ISERROR(VLOOKUP($A63,通讯录!$A:$H,5,FALSE)&amp;""),"",VLOOKUP($A63,通讯录!$A:$H,5,FALSE)&amp;"")</f>
        <v/>
      </c>
      <c r="E63" s="17" t="str">
        <f>IF(ISERROR(VLOOKUP($A63,通讯录!$A:$H,6,FALSE)&amp;""),"",VLOOKUP($A63,通讯录!$A:$H,6,FALSE)&amp;"")</f>
        <v/>
      </c>
      <c r="F63" s="17" t="str">
        <f>IF(ISERROR(VLOOKUP($A63,通讯录!$A:$H,4,FALSE)&amp;""),"",VLOOKUP($A63,通讯录!$A:$H,4,FALSE)&amp;"")</f>
        <v/>
      </c>
      <c r="G63" s="17" t="str">
        <f>IF(ISERROR(VLOOKUP($A63,通讯录!$A:$H,8,FALSE)&amp;""),"",VLOOKUP($A63,通讯录!$A:$H,8,FALSE)&amp;"")</f>
        <v/>
      </c>
      <c r="K63" s="26" t="str">
        <f t="shared" si="0"/>
        <v/>
      </c>
      <c r="L63" s="26" t="str">
        <f t="shared" si="3"/>
        <v/>
      </c>
      <c r="M63" s="26"/>
      <c r="N63" s="26"/>
      <c r="O63" s="26"/>
      <c r="P63" s="26"/>
      <c r="Q63" s="26"/>
      <c r="R63" s="26"/>
    </row>
    <row r="64" s="17" customFormat="1" spans="1:18">
      <c r="A64" s="25"/>
      <c r="B64" s="17" t="str">
        <f>IF(ISERROR(VLOOKUP($A64,通讯录!$A:$H,3,FALSE)&amp;""),"",VLOOKUP($A64,通讯录!$A:$H,3,FALSE)&amp;"")</f>
        <v/>
      </c>
      <c r="C64" s="17" t="str">
        <f>IF(ISERROR(VLOOKUP($A64,通讯录!$A:$H,7,FALSE)&amp;""),"",VLOOKUP($A64,通讯录!$A:$H,7,FALSE)&amp;"")</f>
        <v/>
      </c>
      <c r="D64" s="17" t="str">
        <f>IF(ISERROR(VLOOKUP($A64,通讯录!$A:$H,5,FALSE)&amp;""),"",VLOOKUP($A64,通讯录!$A:$H,5,FALSE)&amp;"")</f>
        <v/>
      </c>
      <c r="E64" s="17" t="str">
        <f>IF(ISERROR(VLOOKUP($A64,通讯录!$A:$H,6,FALSE)&amp;""),"",VLOOKUP($A64,通讯录!$A:$H,6,FALSE)&amp;"")</f>
        <v/>
      </c>
      <c r="F64" s="17" t="str">
        <f>IF(ISERROR(VLOOKUP($A64,通讯录!$A:$H,4,FALSE)&amp;""),"",VLOOKUP($A64,通讯录!$A:$H,4,FALSE)&amp;"")</f>
        <v/>
      </c>
      <c r="G64" s="17" t="str">
        <f>IF(ISERROR(VLOOKUP($A64,通讯录!$A:$H,8,FALSE)&amp;""),"",VLOOKUP($A64,通讯录!$A:$H,8,FALSE)&amp;"")</f>
        <v/>
      </c>
      <c r="K64" s="26" t="str">
        <f t="shared" si="0"/>
        <v/>
      </c>
      <c r="L64" s="26" t="str">
        <f t="shared" si="3"/>
        <v/>
      </c>
      <c r="M64" s="26"/>
      <c r="N64" s="26"/>
      <c r="O64" s="26"/>
      <c r="P64" s="26"/>
      <c r="Q64" s="26"/>
      <c r="R64" s="26"/>
    </row>
    <row r="65" s="17" customFormat="1" spans="1:18">
      <c r="A65" s="25"/>
      <c r="B65" s="17" t="str">
        <f>IF(ISERROR(VLOOKUP($A65,通讯录!$A:$H,3,FALSE)&amp;""),"",VLOOKUP($A65,通讯录!$A:$H,3,FALSE)&amp;"")</f>
        <v/>
      </c>
      <c r="C65" s="17" t="str">
        <f>IF(ISERROR(VLOOKUP($A65,通讯录!$A:$H,7,FALSE)&amp;""),"",VLOOKUP($A65,通讯录!$A:$H,7,FALSE)&amp;"")</f>
        <v/>
      </c>
      <c r="D65" s="17" t="str">
        <f>IF(ISERROR(VLOOKUP($A65,通讯录!$A:$H,5,FALSE)&amp;""),"",VLOOKUP($A65,通讯录!$A:$H,5,FALSE)&amp;"")</f>
        <v/>
      </c>
      <c r="E65" s="17" t="str">
        <f>IF(ISERROR(VLOOKUP($A65,通讯录!$A:$H,6,FALSE)&amp;""),"",VLOOKUP($A65,通讯录!$A:$H,6,FALSE)&amp;"")</f>
        <v/>
      </c>
      <c r="F65" s="17" t="str">
        <f>IF(ISERROR(VLOOKUP($A65,通讯录!$A:$H,4,FALSE)&amp;""),"",VLOOKUP($A65,通讯录!$A:$H,4,FALSE)&amp;"")</f>
        <v/>
      </c>
      <c r="G65" s="17" t="str">
        <f>IF(ISERROR(VLOOKUP($A65,通讯录!$A:$H,8,FALSE)&amp;""),"",VLOOKUP($A65,通讯录!$A:$H,8,FALSE)&amp;"")</f>
        <v/>
      </c>
      <c r="K65" s="26" t="str">
        <f t="shared" si="0"/>
        <v/>
      </c>
      <c r="L65" s="26" t="str">
        <f t="shared" si="3"/>
        <v/>
      </c>
      <c r="M65" s="26"/>
      <c r="N65" s="26"/>
      <c r="O65" s="26"/>
      <c r="P65" s="26"/>
      <c r="Q65" s="26"/>
      <c r="R65" s="26"/>
    </row>
    <row r="66" s="17" customFormat="1" spans="1:18">
      <c r="A66" s="25"/>
      <c r="B66" s="17" t="str">
        <f>IF(ISERROR(VLOOKUP($A66,通讯录!$A:$H,3,FALSE)&amp;""),"",VLOOKUP($A66,通讯录!$A:$H,3,FALSE)&amp;"")</f>
        <v/>
      </c>
      <c r="C66" s="17" t="str">
        <f>IF(ISERROR(VLOOKUP($A66,通讯录!$A:$H,7,FALSE)&amp;""),"",VLOOKUP($A66,通讯录!$A:$H,7,FALSE)&amp;"")</f>
        <v/>
      </c>
      <c r="D66" s="17" t="str">
        <f>IF(ISERROR(VLOOKUP($A66,通讯录!$A:$H,5,FALSE)&amp;""),"",VLOOKUP($A66,通讯录!$A:$H,5,FALSE)&amp;"")</f>
        <v/>
      </c>
      <c r="E66" s="17" t="str">
        <f>IF(ISERROR(VLOOKUP($A66,通讯录!$A:$H,6,FALSE)&amp;""),"",VLOOKUP($A66,通讯录!$A:$H,6,FALSE)&amp;"")</f>
        <v/>
      </c>
      <c r="F66" s="17" t="str">
        <f>IF(ISERROR(VLOOKUP($A66,通讯录!$A:$H,4,FALSE)&amp;""),"",VLOOKUP($A66,通讯录!$A:$H,4,FALSE)&amp;"")</f>
        <v/>
      </c>
      <c r="G66" s="17" t="str">
        <f>IF(ISERROR(VLOOKUP($A66,通讯录!$A:$H,8,FALSE)&amp;""),"",VLOOKUP($A66,通讯录!$A:$H,8,FALSE)&amp;"")</f>
        <v/>
      </c>
      <c r="K66" s="26" t="str">
        <f t="shared" si="0"/>
        <v/>
      </c>
      <c r="L66" s="26" t="str">
        <f t="shared" si="3"/>
        <v/>
      </c>
      <c r="M66" s="26"/>
      <c r="N66" s="26"/>
      <c r="O66" s="26"/>
      <c r="P66" s="26"/>
      <c r="Q66" s="26"/>
      <c r="R66" s="26"/>
    </row>
    <row r="67" s="17" customFormat="1" spans="1:18">
      <c r="A67" s="25"/>
      <c r="B67" s="17" t="str">
        <f>IF(ISERROR(VLOOKUP($A67,通讯录!$A:$H,3,FALSE)&amp;""),"",VLOOKUP($A67,通讯录!$A:$H,3,FALSE)&amp;"")</f>
        <v/>
      </c>
      <c r="C67" s="17" t="str">
        <f>IF(ISERROR(VLOOKUP($A67,通讯录!$A:$H,7,FALSE)&amp;""),"",VLOOKUP($A67,通讯录!$A:$H,7,FALSE)&amp;"")</f>
        <v/>
      </c>
      <c r="D67" s="17" t="str">
        <f>IF(ISERROR(VLOOKUP($A67,通讯录!$A:$H,5,FALSE)&amp;""),"",VLOOKUP($A67,通讯录!$A:$H,5,FALSE)&amp;"")</f>
        <v/>
      </c>
      <c r="E67" s="17" t="str">
        <f>IF(ISERROR(VLOOKUP($A67,通讯录!$A:$H,6,FALSE)&amp;""),"",VLOOKUP($A67,通讯录!$A:$H,6,FALSE)&amp;"")</f>
        <v/>
      </c>
      <c r="F67" s="17" t="str">
        <f>IF(ISERROR(VLOOKUP($A67,通讯录!$A:$H,4,FALSE)&amp;""),"",VLOOKUP($A67,通讯录!$A:$H,4,FALSE)&amp;"")</f>
        <v/>
      </c>
      <c r="G67" s="17" t="str">
        <f>IF(ISERROR(VLOOKUP($A67,通讯录!$A:$H,8,FALSE)&amp;""),"",VLOOKUP($A67,通讯录!$A:$H,8,FALSE)&amp;"")</f>
        <v/>
      </c>
      <c r="K67" s="26" t="str">
        <f t="shared" si="0"/>
        <v/>
      </c>
      <c r="L67" s="26" t="str">
        <f t="shared" si="3"/>
        <v/>
      </c>
      <c r="M67" s="26"/>
      <c r="N67" s="26"/>
      <c r="O67" s="26"/>
      <c r="P67" s="26"/>
      <c r="Q67" s="26"/>
      <c r="R67" s="26"/>
    </row>
    <row r="68" s="17" customFormat="1" spans="1:18">
      <c r="A68" s="25"/>
      <c r="B68" s="17" t="str">
        <f>IF(ISERROR(VLOOKUP($A68,通讯录!$A:$H,3,FALSE)&amp;""),"",VLOOKUP($A68,通讯录!$A:$H,3,FALSE)&amp;"")</f>
        <v/>
      </c>
      <c r="C68" s="17" t="str">
        <f>IF(ISERROR(VLOOKUP($A68,通讯录!$A:$H,7,FALSE)&amp;""),"",VLOOKUP($A68,通讯录!$A:$H,7,FALSE)&amp;"")</f>
        <v/>
      </c>
      <c r="D68" s="17" t="str">
        <f>IF(ISERROR(VLOOKUP($A68,通讯录!$A:$H,5,FALSE)&amp;""),"",VLOOKUP($A68,通讯录!$A:$H,5,FALSE)&amp;"")</f>
        <v/>
      </c>
      <c r="E68" s="17" t="str">
        <f>IF(ISERROR(VLOOKUP($A68,通讯录!$A:$H,6,FALSE)&amp;""),"",VLOOKUP($A68,通讯录!$A:$H,6,FALSE)&amp;"")</f>
        <v/>
      </c>
      <c r="F68" s="17" t="str">
        <f>IF(ISERROR(VLOOKUP($A68,通讯录!$A:$H,4,FALSE)&amp;""),"",VLOOKUP($A68,通讯录!$A:$H,4,FALSE)&amp;"")</f>
        <v/>
      </c>
      <c r="G68" s="17" t="str">
        <f>IF(ISERROR(VLOOKUP($A68,通讯录!$A:$H,8,FALSE)&amp;""),"",VLOOKUP($A68,通讯录!$A:$H,8,FALSE)&amp;"")</f>
        <v/>
      </c>
      <c r="K68" s="26" t="str">
        <f t="shared" si="0"/>
        <v/>
      </c>
      <c r="L68" s="26" t="str">
        <f t="shared" si="3"/>
        <v/>
      </c>
      <c r="M68" s="26"/>
      <c r="N68" s="26"/>
      <c r="O68" s="26"/>
      <c r="P68" s="26"/>
      <c r="Q68" s="26"/>
      <c r="R68" s="26"/>
    </row>
    <row r="69" s="17" customFormat="1" spans="1:18">
      <c r="A69" s="25"/>
      <c r="B69" s="17" t="str">
        <f>IF(ISERROR(VLOOKUP($A69,通讯录!$A:$H,3,FALSE)&amp;""),"",VLOOKUP($A69,通讯录!$A:$H,3,FALSE)&amp;"")</f>
        <v/>
      </c>
      <c r="C69" s="17" t="str">
        <f>IF(ISERROR(VLOOKUP($A69,通讯录!$A:$H,7,FALSE)&amp;""),"",VLOOKUP($A69,通讯录!$A:$H,7,FALSE)&amp;"")</f>
        <v/>
      </c>
      <c r="D69" s="17" t="str">
        <f>IF(ISERROR(VLOOKUP($A69,通讯录!$A:$H,5,FALSE)&amp;""),"",VLOOKUP($A69,通讯录!$A:$H,5,FALSE)&amp;"")</f>
        <v/>
      </c>
      <c r="E69" s="17" t="str">
        <f>IF(ISERROR(VLOOKUP($A69,通讯录!$A:$H,6,FALSE)&amp;""),"",VLOOKUP($A69,通讯录!$A:$H,6,FALSE)&amp;"")</f>
        <v/>
      </c>
      <c r="F69" s="17" t="str">
        <f>IF(ISERROR(VLOOKUP($A69,通讯录!$A:$H,4,FALSE)&amp;""),"",VLOOKUP($A69,通讯录!$A:$H,4,FALSE)&amp;"")</f>
        <v/>
      </c>
      <c r="G69" s="17" t="str">
        <f>IF(ISERROR(VLOOKUP($A69,通讯录!$A:$H,8,FALSE)&amp;""),"",VLOOKUP($A69,通讯录!$A:$H,8,FALSE)&amp;"")</f>
        <v/>
      </c>
      <c r="K69" s="26" t="str">
        <f t="shared" si="0"/>
        <v/>
      </c>
      <c r="L69" s="26" t="str">
        <f t="shared" si="3"/>
        <v/>
      </c>
      <c r="M69" s="26"/>
      <c r="N69" s="26"/>
      <c r="O69" s="26"/>
      <c r="P69" s="26"/>
      <c r="Q69" s="26"/>
      <c r="R69" s="26"/>
    </row>
    <row r="70" s="17" customFormat="1" spans="1:18">
      <c r="A70" s="25"/>
      <c r="B70" s="17" t="str">
        <f>IF(ISERROR(VLOOKUP($A70,通讯录!$A:$H,3,FALSE)&amp;""),"",VLOOKUP($A70,通讯录!$A:$H,3,FALSE)&amp;"")</f>
        <v/>
      </c>
      <c r="C70" s="17" t="str">
        <f>IF(ISERROR(VLOOKUP($A70,通讯录!$A:$H,7,FALSE)&amp;""),"",VLOOKUP($A70,通讯录!$A:$H,7,FALSE)&amp;"")</f>
        <v/>
      </c>
      <c r="D70" s="17" t="str">
        <f>IF(ISERROR(VLOOKUP($A70,通讯录!$A:$H,5,FALSE)&amp;""),"",VLOOKUP($A70,通讯录!$A:$H,5,FALSE)&amp;"")</f>
        <v/>
      </c>
      <c r="E70" s="17" t="str">
        <f>IF(ISERROR(VLOOKUP($A70,通讯录!$A:$H,6,FALSE)&amp;""),"",VLOOKUP($A70,通讯录!$A:$H,6,FALSE)&amp;"")</f>
        <v/>
      </c>
      <c r="F70" s="17" t="str">
        <f>IF(ISERROR(VLOOKUP($A70,通讯录!$A:$H,4,FALSE)&amp;""),"",VLOOKUP($A70,通讯录!$A:$H,4,FALSE)&amp;"")</f>
        <v/>
      </c>
      <c r="G70" s="17" t="str">
        <f>IF(ISERROR(VLOOKUP($A70,通讯录!$A:$H,8,FALSE)&amp;""),"",VLOOKUP($A70,通讯录!$A:$H,8,FALSE)&amp;"")</f>
        <v/>
      </c>
      <c r="K70" s="26" t="str">
        <f t="shared" si="0"/>
        <v/>
      </c>
      <c r="L70" s="26" t="str">
        <f t="shared" si="3"/>
        <v/>
      </c>
      <c r="M70" s="26"/>
      <c r="N70" s="26"/>
      <c r="O70" s="26"/>
      <c r="P70" s="26"/>
      <c r="Q70" s="26"/>
      <c r="R70" s="26"/>
    </row>
    <row r="71" s="17" customFormat="1" spans="1:18">
      <c r="A71" s="25"/>
      <c r="B71" s="17" t="str">
        <f>IF(ISERROR(VLOOKUP($A71,通讯录!$A:$H,3,FALSE)&amp;""),"",VLOOKUP($A71,通讯录!$A:$H,3,FALSE)&amp;"")</f>
        <v/>
      </c>
      <c r="C71" s="17" t="str">
        <f>IF(ISERROR(VLOOKUP($A71,通讯录!$A:$H,7,FALSE)&amp;""),"",VLOOKUP($A71,通讯录!$A:$H,7,FALSE)&amp;"")</f>
        <v/>
      </c>
      <c r="D71" s="17" t="str">
        <f>IF(ISERROR(VLOOKUP($A71,通讯录!$A:$H,5,FALSE)&amp;""),"",VLOOKUP($A71,通讯录!$A:$H,5,FALSE)&amp;"")</f>
        <v/>
      </c>
      <c r="E71" s="17" t="str">
        <f>IF(ISERROR(VLOOKUP($A71,通讯录!$A:$H,6,FALSE)&amp;""),"",VLOOKUP($A71,通讯录!$A:$H,6,FALSE)&amp;"")</f>
        <v/>
      </c>
      <c r="F71" s="17" t="str">
        <f>IF(ISERROR(VLOOKUP($A71,通讯录!$A:$H,4,FALSE)&amp;""),"",VLOOKUP($A71,通讯录!$A:$H,4,FALSE)&amp;"")</f>
        <v/>
      </c>
      <c r="G71" s="17" t="str">
        <f>IF(ISERROR(VLOOKUP($A71,通讯录!$A:$H,8,FALSE)&amp;""),"",VLOOKUP($A71,通讯录!$A:$H,8,FALSE)&amp;"")</f>
        <v/>
      </c>
      <c r="K71" s="26" t="str">
        <f t="shared" si="0"/>
        <v/>
      </c>
      <c r="L71" s="26" t="str">
        <f t="shared" si="3"/>
        <v/>
      </c>
      <c r="M71" s="26"/>
      <c r="N71" s="26"/>
      <c r="O71" s="26"/>
      <c r="P71" s="26"/>
      <c r="Q71" s="26"/>
      <c r="R71" s="26"/>
    </row>
    <row r="72" s="17" customFormat="1" spans="1:18">
      <c r="A72" s="25"/>
      <c r="B72" s="17" t="str">
        <f>IF(ISERROR(VLOOKUP($A72,通讯录!$A:$H,3,FALSE)&amp;""),"",VLOOKUP($A72,通讯录!$A:$H,3,FALSE)&amp;"")</f>
        <v/>
      </c>
      <c r="C72" s="17" t="str">
        <f>IF(ISERROR(VLOOKUP($A72,通讯录!$A:$H,7,FALSE)&amp;""),"",VLOOKUP($A72,通讯录!$A:$H,7,FALSE)&amp;"")</f>
        <v/>
      </c>
      <c r="D72" s="17" t="str">
        <f>IF(ISERROR(VLOOKUP($A72,通讯录!$A:$H,5,FALSE)&amp;""),"",VLOOKUP($A72,通讯录!$A:$H,5,FALSE)&amp;"")</f>
        <v/>
      </c>
      <c r="E72" s="17" t="str">
        <f>IF(ISERROR(VLOOKUP($A72,通讯录!$A:$H,6,FALSE)&amp;""),"",VLOOKUP($A72,通讯录!$A:$H,6,FALSE)&amp;"")</f>
        <v/>
      </c>
      <c r="F72" s="17" t="str">
        <f>IF(ISERROR(VLOOKUP($A72,通讯录!$A:$H,4,FALSE)&amp;""),"",VLOOKUP($A72,通讯录!$A:$H,4,FALSE)&amp;"")</f>
        <v/>
      </c>
      <c r="G72" s="17" t="str">
        <f>IF(ISERROR(VLOOKUP($A72,通讯录!$A:$H,8,FALSE)&amp;""),"",VLOOKUP($A72,通讯录!$A:$H,8,FALSE)&amp;"")</f>
        <v/>
      </c>
      <c r="K72" s="26" t="str">
        <f t="shared" si="0"/>
        <v/>
      </c>
      <c r="L72" s="26" t="str">
        <f t="shared" si="3"/>
        <v/>
      </c>
      <c r="M72" s="26"/>
      <c r="N72" s="26"/>
      <c r="O72" s="26"/>
      <c r="P72" s="26"/>
      <c r="Q72" s="26"/>
      <c r="R72" s="26"/>
    </row>
    <row r="73" s="17" customFormat="1" spans="1:18">
      <c r="A73" s="25"/>
      <c r="B73" s="17" t="str">
        <f>IF(ISERROR(VLOOKUP($A73,通讯录!$A:$H,3,FALSE)&amp;""),"",VLOOKUP($A73,通讯录!$A:$H,3,FALSE)&amp;"")</f>
        <v/>
      </c>
      <c r="C73" s="17" t="str">
        <f>IF(ISERROR(VLOOKUP($A73,通讯录!$A:$H,7,FALSE)&amp;""),"",VLOOKUP($A73,通讯录!$A:$H,7,FALSE)&amp;"")</f>
        <v/>
      </c>
      <c r="D73" s="17" t="str">
        <f>IF(ISERROR(VLOOKUP($A73,通讯录!$A:$H,5,FALSE)&amp;""),"",VLOOKUP($A73,通讯录!$A:$H,5,FALSE)&amp;"")</f>
        <v/>
      </c>
      <c r="E73" s="17" t="str">
        <f>IF(ISERROR(VLOOKUP($A73,通讯录!$A:$H,6,FALSE)&amp;""),"",VLOOKUP($A73,通讯录!$A:$H,6,FALSE)&amp;"")</f>
        <v/>
      </c>
      <c r="F73" s="17" t="str">
        <f>IF(ISERROR(VLOOKUP($A73,通讯录!$A:$H,4,FALSE)&amp;""),"",VLOOKUP($A73,通讯录!$A:$H,4,FALSE)&amp;"")</f>
        <v/>
      </c>
      <c r="G73" s="17" t="str">
        <f>IF(ISERROR(VLOOKUP($A73,通讯录!$A:$H,8,FALSE)&amp;""),"",VLOOKUP($A73,通讯录!$A:$H,8,FALSE)&amp;"")</f>
        <v/>
      </c>
      <c r="K73" s="26" t="str">
        <f t="shared" si="0"/>
        <v/>
      </c>
      <c r="L73" s="26" t="str">
        <f t="shared" si="3"/>
        <v/>
      </c>
      <c r="M73" s="26"/>
      <c r="N73" s="26"/>
      <c r="O73" s="26"/>
      <c r="P73" s="26"/>
      <c r="Q73" s="26"/>
      <c r="R73" s="26"/>
    </row>
    <row r="74" s="17" customFormat="1" spans="1:18">
      <c r="A74" s="25"/>
      <c r="B74" s="17" t="str">
        <f>IF(ISERROR(VLOOKUP($A74,通讯录!$A:$H,3,FALSE)&amp;""),"",VLOOKUP($A74,通讯录!$A:$H,3,FALSE)&amp;"")</f>
        <v/>
      </c>
      <c r="C74" s="17" t="str">
        <f>IF(ISERROR(VLOOKUP($A74,通讯录!$A:$H,7,FALSE)&amp;""),"",VLOOKUP($A74,通讯录!$A:$H,7,FALSE)&amp;"")</f>
        <v/>
      </c>
      <c r="D74" s="17" t="str">
        <f>IF(ISERROR(VLOOKUP($A74,通讯录!$A:$H,5,FALSE)&amp;""),"",VLOOKUP($A74,通讯录!$A:$H,5,FALSE)&amp;"")</f>
        <v/>
      </c>
      <c r="E74" s="17" t="str">
        <f>IF(ISERROR(VLOOKUP($A74,通讯录!$A:$H,6,FALSE)&amp;""),"",VLOOKUP($A74,通讯录!$A:$H,6,FALSE)&amp;"")</f>
        <v/>
      </c>
      <c r="F74" s="17" t="str">
        <f>IF(ISERROR(VLOOKUP($A74,通讯录!$A:$H,4,FALSE)&amp;""),"",VLOOKUP($A74,通讯录!$A:$H,4,FALSE)&amp;"")</f>
        <v/>
      </c>
      <c r="G74" s="17" t="str">
        <f>IF(ISERROR(VLOOKUP($A74,通讯录!$A:$H,8,FALSE)&amp;""),"",VLOOKUP($A74,通讯录!$A:$H,8,FALSE)&amp;"")</f>
        <v/>
      </c>
      <c r="K74" s="26" t="str">
        <f t="shared" si="0"/>
        <v/>
      </c>
      <c r="L74" s="26" t="str">
        <f t="shared" si="3"/>
        <v/>
      </c>
      <c r="M74" s="26"/>
      <c r="N74" s="26"/>
      <c r="O74" s="26"/>
      <c r="P74" s="26"/>
      <c r="Q74" s="26"/>
      <c r="R74" s="26"/>
    </row>
    <row r="75" s="17" customFormat="1" spans="1:18">
      <c r="A75" s="25"/>
      <c r="B75" s="17" t="str">
        <f>IF(ISERROR(VLOOKUP($A75,通讯录!$A:$H,3,FALSE)&amp;""),"",VLOOKUP($A75,通讯录!$A:$H,3,FALSE)&amp;"")</f>
        <v/>
      </c>
      <c r="C75" s="17" t="str">
        <f>IF(ISERROR(VLOOKUP($A75,通讯录!$A:$H,7,FALSE)&amp;""),"",VLOOKUP($A75,通讯录!$A:$H,7,FALSE)&amp;"")</f>
        <v/>
      </c>
      <c r="D75" s="17" t="str">
        <f>IF(ISERROR(VLOOKUP($A75,通讯录!$A:$H,5,FALSE)&amp;""),"",VLOOKUP($A75,通讯录!$A:$H,5,FALSE)&amp;"")</f>
        <v/>
      </c>
      <c r="E75" s="17" t="str">
        <f>IF(ISERROR(VLOOKUP($A75,通讯录!$A:$H,6,FALSE)&amp;""),"",VLOOKUP($A75,通讯录!$A:$H,6,FALSE)&amp;"")</f>
        <v/>
      </c>
      <c r="F75" s="17" t="str">
        <f>IF(ISERROR(VLOOKUP($A75,通讯录!$A:$H,4,FALSE)&amp;""),"",VLOOKUP($A75,通讯录!$A:$H,4,FALSE)&amp;"")</f>
        <v/>
      </c>
      <c r="G75" s="17" t="str">
        <f>IF(ISERROR(VLOOKUP($A75,通讯录!$A:$H,8,FALSE)&amp;""),"",VLOOKUP($A75,通讯录!$A:$H,8,FALSE)&amp;"")</f>
        <v/>
      </c>
      <c r="K75" s="26" t="str">
        <f t="shared" si="0"/>
        <v/>
      </c>
      <c r="L75" s="26" t="str">
        <f t="shared" si="3"/>
        <v/>
      </c>
      <c r="M75" s="26"/>
      <c r="N75" s="26"/>
      <c r="O75" s="26"/>
      <c r="P75" s="26"/>
      <c r="Q75" s="26"/>
      <c r="R75" s="26"/>
    </row>
    <row r="76" s="17" customFormat="1" spans="1:18">
      <c r="A76" s="25"/>
      <c r="B76" s="17" t="str">
        <f>IF(ISERROR(VLOOKUP($A76,通讯录!$A:$H,3,FALSE)&amp;""),"",VLOOKUP($A76,通讯录!$A:$H,3,FALSE)&amp;"")</f>
        <v/>
      </c>
      <c r="C76" s="17" t="str">
        <f>IF(ISERROR(VLOOKUP($A76,通讯录!$A:$H,7,FALSE)&amp;""),"",VLOOKUP($A76,通讯录!$A:$H,7,FALSE)&amp;"")</f>
        <v/>
      </c>
      <c r="D76" s="17" t="str">
        <f>IF(ISERROR(VLOOKUP($A76,通讯录!$A:$H,5,FALSE)&amp;""),"",VLOOKUP($A76,通讯录!$A:$H,5,FALSE)&amp;"")</f>
        <v/>
      </c>
      <c r="E76" s="17" t="str">
        <f>IF(ISERROR(VLOOKUP($A76,通讯录!$A:$H,6,FALSE)&amp;""),"",VLOOKUP($A76,通讯录!$A:$H,6,FALSE)&amp;"")</f>
        <v/>
      </c>
      <c r="F76" s="17" t="str">
        <f>IF(ISERROR(VLOOKUP($A76,通讯录!$A:$H,4,FALSE)&amp;""),"",VLOOKUP($A76,通讯录!$A:$H,4,FALSE)&amp;"")</f>
        <v/>
      </c>
      <c r="G76" s="17" t="str">
        <f>IF(ISERROR(VLOOKUP($A76,通讯录!$A:$H,8,FALSE)&amp;""),"",VLOOKUP($A76,通讯录!$A:$H,8,FALSE)&amp;"")</f>
        <v/>
      </c>
      <c r="K76" s="26" t="str">
        <f t="shared" si="0"/>
        <v/>
      </c>
      <c r="L76" s="26" t="str">
        <f t="shared" si="3"/>
        <v/>
      </c>
      <c r="M76" s="26"/>
      <c r="N76" s="26"/>
      <c r="O76" s="26"/>
      <c r="P76" s="26"/>
      <c r="Q76" s="26"/>
      <c r="R76" s="26"/>
    </row>
    <row r="77" s="17" customFormat="1" spans="1:18">
      <c r="A77" s="25"/>
      <c r="B77" s="17" t="str">
        <f>IF(ISERROR(VLOOKUP($A77,通讯录!$A:$H,3,FALSE)&amp;""),"",VLOOKUP($A77,通讯录!$A:$H,3,FALSE)&amp;"")</f>
        <v/>
      </c>
      <c r="C77" s="17" t="str">
        <f>IF(ISERROR(VLOOKUP($A77,通讯录!$A:$H,7,FALSE)&amp;""),"",VLOOKUP($A77,通讯录!$A:$H,7,FALSE)&amp;"")</f>
        <v/>
      </c>
      <c r="D77" s="17" t="str">
        <f>IF(ISERROR(VLOOKUP($A77,通讯录!$A:$H,5,FALSE)&amp;""),"",VLOOKUP($A77,通讯录!$A:$H,5,FALSE)&amp;"")</f>
        <v/>
      </c>
      <c r="E77" s="17" t="str">
        <f>IF(ISERROR(VLOOKUP($A77,通讯录!$A:$H,6,FALSE)&amp;""),"",VLOOKUP($A77,通讯录!$A:$H,6,FALSE)&amp;"")</f>
        <v/>
      </c>
      <c r="F77" s="17" t="str">
        <f>IF(ISERROR(VLOOKUP($A77,通讯录!$A:$H,4,FALSE)&amp;""),"",VLOOKUP($A77,通讯录!$A:$H,4,FALSE)&amp;"")</f>
        <v/>
      </c>
      <c r="G77" s="17" t="str">
        <f>IF(ISERROR(VLOOKUP($A77,通讯录!$A:$H,8,FALSE)&amp;""),"",VLOOKUP($A77,通讯录!$A:$H,8,FALSE)&amp;"")</f>
        <v/>
      </c>
      <c r="K77" s="26" t="str">
        <f t="shared" si="0"/>
        <v/>
      </c>
      <c r="L77" s="26" t="str">
        <f t="shared" si="3"/>
        <v/>
      </c>
      <c r="M77" s="26"/>
      <c r="N77" s="26"/>
      <c r="O77" s="26"/>
      <c r="P77" s="26"/>
      <c r="Q77" s="26"/>
      <c r="R77" s="26"/>
    </row>
    <row r="78" s="17" customFormat="1" spans="1:18">
      <c r="A78" s="25"/>
      <c r="B78" s="17" t="str">
        <f>IF(ISERROR(VLOOKUP($A78,通讯录!$A:$H,3,FALSE)&amp;""),"",VLOOKUP($A78,通讯录!$A:$H,3,FALSE)&amp;"")</f>
        <v/>
      </c>
      <c r="C78" s="17" t="str">
        <f>IF(ISERROR(VLOOKUP($A78,通讯录!$A:$H,7,FALSE)&amp;""),"",VLOOKUP($A78,通讯录!$A:$H,7,FALSE)&amp;"")</f>
        <v/>
      </c>
      <c r="D78" s="17" t="str">
        <f>IF(ISERROR(VLOOKUP($A78,通讯录!$A:$H,5,FALSE)&amp;""),"",VLOOKUP($A78,通讯录!$A:$H,5,FALSE)&amp;"")</f>
        <v/>
      </c>
      <c r="E78" s="17" t="str">
        <f>IF(ISERROR(VLOOKUP($A78,通讯录!$A:$H,6,FALSE)&amp;""),"",VLOOKUP($A78,通讯录!$A:$H,6,FALSE)&amp;"")</f>
        <v/>
      </c>
      <c r="F78" s="17" t="str">
        <f>IF(ISERROR(VLOOKUP($A78,通讯录!$A:$H,4,FALSE)&amp;""),"",VLOOKUP($A78,通讯录!$A:$H,4,FALSE)&amp;"")</f>
        <v/>
      </c>
      <c r="G78" s="17" t="str">
        <f>IF(ISERROR(VLOOKUP($A78,通讯录!$A:$H,8,FALSE)&amp;""),"",VLOOKUP($A78,通讯录!$A:$H,8,FALSE)&amp;"")</f>
        <v/>
      </c>
      <c r="K78" s="26" t="str">
        <f t="shared" si="0"/>
        <v/>
      </c>
      <c r="L78" s="26" t="str">
        <f t="shared" si="3"/>
        <v/>
      </c>
      <c r="M78" s="26"/>
      <c r="N78" s="26"/>
      <c r="O78" s="26"/>
      <c r="P78" s="26"/>
      <c r="Q78" s="26"/>
      <c r="R78" s="26"/>
    </row>
    <row r="79" s="17" customFormat="1" spans="1:18">
      <c r="A79" s="25"/>
      <c r="B79" s="17" t="str">
        <f>IF(ISERROR(VLOOKUP($A79,通讯录!$A:$H,3,FALSE)&amp;""),"",VLOOKUP($A79,通讯录!$A:$H,3,FALSE)&amp;"")</f>
        <v/>
      </c>
      <c r="C79" s="17" t="str">
        <f>IF(ISERROR(VLOOKUP($A79,通讯录!$A:$H,7,FALSE)&amp;""),"",VLOOKUP($A79,通讯录!$A:$H,7,FALSE)&amp;"")</f>
        <v/>
      </c>
      <c r="D79" s="17" t="str">
        <f>IF(ISERROR(VLOOKUP($A79,通讯录!$A:$H,5,FALSE)&amp;""),"",VLOOKUP($A79,通讯录!$A:$H,5,FALSE)&amp;"")</f>
        <v/>
      </c>
      <c r="E79" s="17" t="str">
        <f>IF(ISERROR(VLOOKUP($A79,通讯录!$A:$H,6,FALSE)&amp;""),"",VLOOKUP($A79,通讯录!$A:$H,6,FALSE)&amp;"")</f>
        <v/>
      </c>
      <c r="F79" s="17" t="str">
        <f>IF(ISERROR(VLOOKUP($A79,通讯录!$A:$H,4,FALSE)&amp;""),"",VLOOKUP($A79,通讯录!$A:$H,4,FALSE)&amp;"")</f>
        <v/>
      </c>
      <c r="G79" s="17" t="str">
        <f>IF(ISERROR(VLOOKUP($A79,通讯录!$A:$H,8,FALSE)&amp;""),"",VLOOKUP($A79,通讯录!$A:$H,8,FALSE)&amp;"")</f>
        <v/>
      </c>
      <c r="K79" s="26" t="str">
        <f t="shared" si="0"/>
        <v/>
      </c>
      <c r="L79" s="26" t="str">
        <f t="shared" si="3"/>
        <v/>
      </c>
      <c r="M79" s="26"/>
      <c r="N79" s="26"/>
      <c r="O79" s="26"/>
      <c r="P79" s="26"/>
      <c r="Q79" s="26"/>
      <c r="R79" s="26"/>
    </row>
    <row r="80" s="17" customFormat="1" spans="1:18">
      <c r="A80" s="25"/>
      <c r="B80" s="17" t="str">
        <f>IF(ISERROR(VLOOKUP($A80,通讯录!$A:$H,3,FALSE)&amp;""),"",VLOOKUP($A80,通讯录!$A:$H,3,FALSE)&amp;"")</f>
        <v/>
      </c>
      <c r="C80" s="17" t="str">
        <f>IF(ISERROR(VLOOKUP($A80,通讯录!$A:$H,7,FALSE)&amp;""),"",VLOOKUP($A80,通讯录!$A:$H,7,FALSE)&amp;"")</f>
        <v/>
      </c>
      <c r="D80" s="17" t="str">
        <f>IF(ISERROR(VLOOKUP($A80,通讯录!$A:$H,5,FALSE)&amp;""),"",VLOOKUP($A80,通讯录!$A:$H,5,FALSE)&amp;"")</f>
        <v/>
      </c>
      <c r="E80" s="17" t="str">
        <f>IF(ISERROR(VLOOKUP($A80,通讯录!$A:$H,6,FALSE)&amp;""),"",VLOOKUP($A80,通讯录!$A:$H,6,FALSE)&amp;"")</f>
        <v/>
      </c>
      <c r="F80" s="17" t="str">
        <f>IF(ISERROR(VLOOKUP($A80,通讯录!$A:$H,4,FALSE)&amp;""),"",VLOOKUP($A80,通讯录!$A:$H,4,FALSE)&amp;"")</f>
        <v/>
      </c>
      <c r="G80" s="17" t="str">
        <f>IF(ISERROR(VLOOKUP($A80,通讯录!$A:$H,8,FALSE)&amp;""),"",VLOOKUP($A80,通讯录!$A:$H,8,FALSE)&amp;"")</f>
        <v/>
      </c>
      <c r="K80" s="26" t="str">
        <f t="shared" si="0"/>
        <v/>
      </c>
      <c r="L80" s="26" t="str">
        <f t="shared" si="3"/>
        <v/>
      </c>
      <c r="M80" s="26"/>
      <c r="N80" s="26"/>
      <c r="O80" s="26"/>
      <c r="P80" s="26"/>
      <c r="Q80" s="26"/>
      <c r="R80" s="26"/>
    </row>
    <row r="81" s="17" customFormat="1" spans="1:18">
      <c r="A81" s="25"/>
      <c r="B81" s="17" t="str">
        <f>IF(ISERROR(VLOOKUP($A81,通讯录!$A:$H,3,FALSE)&amp;""),"",VLOOKUP($A81,通讯录!$A:$H,3,FALSE)&amp;"")</f>
        <v/>
      </c>
      <c r="C81" s="17" t="str">
        <f>IF(ISERROR(VLOOKUP($A81,通讯录!$A:$H,7,FALSE)&amp;""),"",VLOOKUP($A81,通讯录!$A:$H,7,FALSE)&amp;"")</f>
        <v/>
      </c>
      <c r="D81" s="17" t="str">
        <f>IF(ISERROR(VLOOKUP($A81,通讯录!$A:$H,5,FALSE)&amp;""),"",VLOOKUP($A81,通讯录!$A:$H,5,FALSE)&amp;"")</f>
        <v/>
      </c>
      <c r="E81" s="17" t="str">
        <f>IF(ISERROR(VLOOKUP($A81,通讯录!$A:$H,6,FALSE)&amp;""),"",VLOOKUP($A81,通讯录!$A:$H,6,FALSE)&amp;"")</f>
        <v/>
      </c>
      <c r="F81" s="17" t="str">
        <f>IF(ISERROR(VLOOKUP($A81,通讯录!$A:$H,4,FALSE)&amp;""),"",VLOOKUP($A81,通讯录!$A:$H,4,FALSE)&amp;"")</f>
        <v/>
      </c>
      <c r="G81" s="17" t="str">
        <f>IF(ISERROR(VLOOKUP($A81,通讯录!$A:$H,8,FALSE)&amp;""),"",VLOOKUP($A81,通讯录!$A:$H,8,FALSE)&amp;"")</f>
        <v/>
      </c>
      <c r="K81" s="26" t="str">
        <f t="shared" si="0"/>
        <v/>
      </c>
      <c r="L81" s="26" t="str">
        <f t="shared" si="3"/>
        <v/>
      </c>
      <c r="M81" s="26"/>
      <c r="N81" s="26"/>
      <c r="O81" s="26"/>
      <c r="P81" s="26"/>
      <c r="Q81" s="26"/>
      <c r="R81" s="26"/>
    </row>
    <row r="82" s="17" customFormat="1" spans="1:18">
      <c r="A82" s="25"/>
      <c r="B82" s="17" t="str">
        <f>IF(ISERROR(VLOOKUP($A82,通讯录!$A:$H,3,FALSE)&amp;""),"",VLOOKUP($A82,通讯录!$A:$H,3,FALSE)&amp;"")</f>
        <v/>
      </c>
      <c r="C82" s="17" t="str">
        <f>IF(ISERROR(VLOOKUP($A82,通讯录!$A:$H,7,FALSE)&amp;""),"",VLOOKUP($A82,通讯录!$A:$H,7,FALSE)&amp;"")</f>
        <v/>
      </c>
      <c r="D82" s="17" t="str">
        <f>IF(ISERROR(VLOOKUP($A82,通讯录!$A:$H,5,FALSE)&amp;""),"",VLOOKUP($A82,通讯录!$A:$H,5,FALSE)&amp;"")</f>
        <v/>
      </c>
      <c r="E82" s="17" t="str">
        <f>IF(ISERROR(VLOOKUP($A82,通讯录!$A:$H,6,FALSE)&amp;""),"",VLOOKUP($A82,通讯录!$A:$H,6,FALSE)&amp;"")</f>
        <v/>
      </c>
      <c r="F82" s="17" t="str">
        <f>IF(ISERROR(VLOOKUP($A82,通讯录!$A:$H,4,FALSE)&amp;""),"",VLOOKUP($A82,通讯录!$A:$H,4,FALSE)&amp;"")</f>
        <v/>
      </c>
      <c r="G82" s="17" t="str">
        <f>IF(ISERROR(VLOOKUP($A82,通讯录!$A:$H,8,FALSE)&amp;""),"",VLOOKUP($A82,通讯录!$A:$H,8,FALSE)&amp;"")</f>
        <v/>
      </c>
      <c r="K82" s="26" t="str">
        <f t="shared" si="0"/>
        <v/>
      </c>
      <c r="L82" s="26" t="str">
        <f t="shared" si="3"/>
        <v/>
      </c>
      <c r="M82" s="26"/>
      <c r="N82" s="26"/>
      <c r="O82" s="26"/>
      <c r="P82" s="26"/>
      <c r="Q82" s="26"/>
      <c r="R82" s="26"/>
    </row>
    <row r="83" s="17" customFormat="1" spans="1:18">
      <c r="A83" s="25"/>
      <c r="B83" s="17" t="str">
        <f>IF(ISERROR(VLOOKUP($A83,通讯录!$A:$H,3,FALSE)&amp;""),"",VLOOKUP($A83,通讯录!$A:$H,3,FALSE)&amp;"")</f>
        <v/>
      </c>
      <c r="C83" s="17" t="str">
        <f>IF(ISERROR(VLOOKUP($A83,通讯录!$A:$H,7,FALSE)&amp;""),"",VLOOKUP($A83,通讯录!$A:$H,7,FALSE)&amp;"")</f>
        <v/>
      </c>
      <c r="D83" s="17" t="str">
        <f>IF(ISERROR(VLOOKUP($A83,通讯录!$A:$H,5,FALSE)&amp;""),"",VLOOKUP($A83,通讯录!$A:$H,5,FALSE)&amp;"")</f>
        <v/>
      </c>
      <c r="E83" s="17" t="str">
        <f>IF(ISERROR(VLOOKUP($A83,通讯录!$A:$H,6,FALSE)&amp;""),"",VLOOKUP($A83,通讯录!$A:$H,6,FALSE)&amp;"")</f>
        <v/>
      </c>
      <c r="F83" s="17" t="str">
        <f>IF(ISERROR(VLOOKUP($A83,通讯录!$A:$H,4,FALSE)&amp;""),"",VLOOKUP($A83,通讯录!$A:$H,4,FALSE)&amp;"")</f>
        <v/>
      </c>
      <c r="G83" s="17" t="str">
        <f>IF(ISERROR(VLOOKUP($A83,通讯录!$A:$H,8,FALSE)&amp;""),"",VLOOKUP($A83,通讯录!$A:$H,8,FALSE)&amp;"")</f>
        <v/>
      </c>
      <c r="K83" s="26" t="str">
        <f t="shared" si="0"/>
        <v/>
      </c>
      <c r="L83" s="26" t="str">
        <f t="shared" si="3"/>
        <v/>
      </c>
      <c r="M83" s="26"/>
      <c r="N83" s="26"/>
      <c r="O83" s="26"/>
      <c r="P83" s="26"/>
      <c r="Q83" s="26"/>
      <c r="R83" s="26"/>
    </row>
    <row r="84" s="17" customFormat="1" spans="1:18">
      <c r="A84" s="25"/>
      <c r="B84" s="17" t="str">
        <f>IF(ISERROR(VLOOKUP($A84,通讯录!$A:$H,3,FALSE)&amp;""),"",VLOOKUP($A84,通讯录!$A:$H,3,FALSE)&amp;"")</f>
        <v/>
      </c>
      <c r="C84" s="17" t="str">
        <f>IF(ISERROR(VLOOKUP($A84,通讯录!$A:$H,7,FALSE)&amp;""),"",VLOOKUP($A84,通讯录!$A:$H,7,FALSE)&amp;"")</f>
        <v/>
      </c>
      <c r="D84" s="17" t="str">
        <f>IF(ISERROR(VLOOKUP($A84,通讯录!$A:$H,5,FALSE)&amp;""),"",VLOOKUP($A84,通讯录!$A:$H,5,FALSE)&amp;"")</f>
        <v/>
      </c>
      <c r="E84" s="17" t="str">
        <f>IF(ISERROR(VLOOKUP($A84,通讯录!$A:$H,6,FALSE)&amp;""),"",VLOOKUP($A84,通讯录!$A:$H,6,FALSE)&amp;"")</f>
        <v/>
      </c>
      <c r="F84" s="17" t="str">
        <f>IF(ISERROR(VLOOKUP($A84,通讯录!$A:$H,4,FALSE)&amp;""),"",VLOOKUP($A84,通讯录!$A:$H,4,FALSE)&amp;"")</f>
        <v/>
      </c>
      <c r="G84" s="17" t="str">
        <f>IF(ISERROR(VLOOKUP($A84,通讯录!$A:$H,8,FALSE)&amp;""),"",VLOOKUP($A84,通讯录!$A:$H,8,FALSE)&amp;"")</f>
        <v/>
      </c>
      <c r="K84" s="26" t="str">
        <f t="shared" si="0"/>
        <v/>
      </c>
      <c r="L84" s="26" t="str">
        <f t="shared" si="3"/>
        <v/>
      </c>
      <c r="M84" s="26"/>
      <c r="N84" s="26"/>
      <c r="O84" s="26"/>
      <c r="P84" s="26"/>
      <c r="Q84" s="26"/>
      <c r="R84" s="26"/>
    </row>
    <row r="85" s="17" customFormat="1" spans="1:18">
      <c r="A85" s="25"/>
      <c r="B85" s="17" t="str">
        <f>IF(ISERROR(VLOOKUP($A85,通讯录!$A:$H,3,FALSE)&amp;""),"",VLOOKUP($A85,通讯录!$A:$H,3,FALSE)&amp;"")</f>
        <v/>
      </c>
      <c r="C85" s="17" t="str">
        <f>IF(ISERROR(VLOOKUP($A85,通讯录!$A:$H,7,FALSE)&amp;""),"",VLOOKUP($A85,通讯录!$A:$H,7,FALSE)&amp;"")</f>
        <v/>
      </c>
      <c r="D85" s="17" t="str">
        <f>IF(ISERROR(VLOOKUP($A85,通讯录!$A:$H,5,FALSE)&amp;""),"",VLOOKUP($A85,通讯录!$A:$H,5,FALSE)&amp;"")</f>
        <v/>
      </c>
      <c r="E85" s="17" t="str">
        <f>IF(ISERROR(VLOOKUP($A85,通讯录!$A:$H,6,FALSE)&amp;""),"",VLOOKUP($A85,通讯录!$A:$H,6,FALSE)&amp;"")</f>
        <v/>
      </c>
      <c r="F85" s="17" t="str">
        <f>IF(ISERROR(VLOOKUP($A85,通讯录!$A:$H,4,FALSE)&amp;""),"",VLOOKUP($A85,通讯录!$A:$H,4,FALSE)&amp;"")</f>
        <v/>
      </c>
      <c r="G85" s="17" t="str">
        <f>IF(ISERROR(VLOOKUP($A85,通讯录!$A:$H,8,FALSE)&amp;""),"",VLOOKUP($A85,通讯录!$A:$H,8,FALSE)&amp;"")</f>
        <v/>
      </c>
      <c r="K85" s="26" t="str">
        <f t="shared" si="0"/>
        <v/>
      </c>
      <c r="L85" s="26" t="str">
        <f t="shared" si="3"/>
        <v/>
      </c>
      <c r="M85" s="26"/>
      <c r="N85" s="26"/>
      <c r="O85" s="26"/>
      <c r="P85" s="26"/>
      <c r="Q85" s="26"/>
      <c r="R85" s="26"/>
    </row>
    <row r="86" s="17" customFormat="1" spans="1:18">
      <c r="A86" s="25"/>
      <c r="B86" s="17" t="str">
        <f>IF(ISERROR(VLOOKUP($A86,通讯录!$A:$H,3,FALSE)&amp;""),"",VLOOKUP($A86,通讯录!$A:$H,3,FALSE)&amp;"")</f>
        <v/>
      </c>
      <c r="C86" s="17" t="str">
        <f>IF(ISERROR(VLOOKUP($A86,通讯录!$A:$H,7,FALSE)&amp;""),"",VLOOKUP($A86,通讯录!$A:$H,7,FALSE)&amp;"")</f>
        <v/>
      </c>
      <c r="D86" s="17" t="str">
        <f>IF(ISERROR(VLOOKUP($A86,通讯录!$A:$H,5,FALSE)&amp;""),"",VLOOKUP($A86,通讯录!$A:$H,5,FALSE)&amp;"")</f>
        <v/>
      </c>
      <c r="E86" s="17" t="str">
        <f>IF(ISERROR(VLOOKUP($A86,通讯录!$A:$H,6,FALSE)&amp;""),"",VLOOKUP($A86,通讯录!$A:$H,6,FALSE)&amp;"")</f>
        <v/>
      </c>
      <c r="F86" s="17" t="str">
        <f>IF(ISERROR(VLOOKUP($A86,通讯录!$A:$H,4,FALSE)&amp;""),"",VLOOKUP($A86,通讯录!$A:$H,4,FALSE)&amp;"")</f>
        <v/>
      </c>
      <c r="G86" s="17" t="str">
        <f>IF(ISERROR(VLOOKUP($A86,通讯录!$A:$H,8,FALSE)&amp;""),"",VLOOKUP($A86,通讯录!$A:$H,8,FALSE)&amp;"")</f>
        <v/>
      </c>
      <c r="K86" s="26" t="str">
        <f t="shared" ref="K86:K99" si="4">CONCATENATE(L86,M86,N86,O86,P86,Q86,R86,S86)</f>
        <v/>
      </c>
      <c r="L86" s="26" t="str">
        <f t="shared" si="3"/>
        <v/>
      </c>
      <c r="M86" s="26"/>
      <c r="N86" s="26"/>
      <c r="O86" s="26"/>
      <c r="P86" s="26"/>
      <c r="Q86" s="26"/>
      <c r="R86" s="26"/>
    </row>
    <row r="87" s="17" customFormat="1" spans="1:18">
      <c r="A87" s="25"/>
      <c r="B87" s="17" t="str">
        <f>IF(ISERROR(VLOOKUP($A87,通讯录!$A:$H,3,FALSE)&amp;""),"",VLOOKUP($A87,通讯录!$A:$H,3,FALSE)&amp;"")</f>
        <v/>
      </c>
      <c r="C87" s="17" t="str">
        <f>IF(ISERROR(VLOOKUP($A87,通讯录!$A:$H,7,FALSE)&amp;""),"",VLOOKUP($A87,通讯录!$A:$H,7,FALSE)&amp;"")</f>
        <v/>
      </c>
      <c r="D87" s="17" t="str">
        <f>IF(ISERROR(VLOOKUP($A87,通讯录!$A:$H,5,FALSE)&amp;""),"",VLOOKUP($A87,通讯录!$A:$H,5,FALSE)&amp;"")</f>
        <v/>
      </c>
      <c r="E87" s="17" t="str">
        <f>IF(ISERROR(VLOOKUP($A87,通讯录!$A:$H,6,FALSE)&amp;""),"",VLOOKUP($A87,通讯录!$A:$H,6,FALSE)&amp;"")</f>
        <v/>
      </c>
      <c r="F87" s="17" t="str">
        <f>IF(ISERROR(VLOOKUP($A87,通讯录!$A:$H,4,FALSE)&amp;""),"",VLOOKUP($A87,通讯录!$A:$H,4,FALSE)&amp;"")</f>
        <v/>
      </c>
      <c r="G87" s="17" t="str">
        <f>IF(ISERROR(VLOOKUP($A87,通讯录!$A:$H,8,FALSE)&amp;""),"",VLOOKUP($A87,通讯录!$A:$H,8,FALSE)&amp;"")</f>
        <v/>
      </c>
      <c r="K87" s="26" t="str">
        <f t="shared" si="4"/>
        <v/>
      </c>
      <c r="L87" s="26" t="str">
        <f t="shared" si="3"/>
        <v/>
      </c>
      <c r="M87" s="26"/>
      <c r="N87" s="26"/>
      <c r="O87" s="26"/>
      <c r="P87" s="26"/>
      <c r="Q87" s="26"/>
      <c r="R87" s="26"/>
    </row>
    <row r="88" s="17" customFormat="1" spans="1:18">
      <c r="A88" s="25"/>
      <c r="B88" s="17" t="str">
        <f>IF(ISERROR(VLOOKUP($A88,通讯录!$A:$H,3,FALSE)&amp;""),"",VLOOKUP($A88,通讯录!$A:$H,3,FALSE)&amp;"")</f>
        <v/>
      </c>
      <c r="C88" s="17" t="str">
        <f>IF(ISERROR(VLOOKUP($A88,通讯录!$A:$H,7,FALSE)&amp;""),"",VLOOKUP($A88,通讯录!$A:$H,7,FALSE)&amp;"")</f>
        <v/>
      </c>
      <c r="D88" s="17" t="str">
        <f>IF(ISERROR(VLOOKUP($A88,通讯录!$A:$H,5,FALSE)&amp;""),"",VLOOKUP($A88,通讯录!$A:$H,5,FALSE)&amp;"")</f>
        <v/>
      </c>
      <c r="E88" s="17" t="str">
        <f>IF(ISERROR(VLOOKUP($A88,通讯录!$A:$H,6,FALSE)&amp;""),"",VLOOKUP($A88,通讯录!$A:$H,6,FALSE)&amp;"")</f>
        <v/>
      </c>
      <c r="F88" s="17" t="str">
        <f>IF(ISERROR(VLOOKUP($A88,通讯录!$A:$H,4,FALSE)&amp;""),"",VLOOKUP($A88,通讯录!$A:$H,4,FALSE)&amp;"")</f>
        <v/>
      </c>
      <c r="G88" s="17" t="str">
        <f>IF(ISERROR(VLOOKUP($A88,通讯录!$A:$H,8,FALSE)&amp;""),"",VLOOKUP($A88,通讯录!$A:$H,8,FALSE)&amp;"")</f>
        <v/>
      </c>
      <c r="K88" s="26" t="str">
        <f t="shared" si="4"/>
        <v/>
      </c>
      <c r="L88" s="26" t="str">
        <f t="shared" si="3"/>
        <v/>
      </c>
      <c r="M88" s="26"/>
      <c r="N88" s="26"/>
      <c r="O88" s="26"/>
      <c r="P88" s="26"/>
      <c r="Q88" s="26"/>
      <c r="R88" s="26"/>
    </row>
    <row r="89" s="17" customFormat="1" spans="1:18">
      <c r="A89" s="25"/>
      <c r="B89" s="17" t="str">
        <f>IF(ISERROR(VLOOKUP($A89,通讯录!$A:$H,3,FALSE)&amp;""),"",VLOOKUP($A89,通讯录!$A:$H,3,FALSE)&amp;"")</f>
        <v/>
      </c>
      <c r="C89" s="17" t="str">
        <f>IF(ISERROR(VLOOKUP($A89,通讯录!$A:$H,7,FALSE)&amp;""),"",VLOOKUP($A89,通讯录!$A:$H,7,FALSE)&amp;"")</f>
        <v/>
      </c>
      <c r="D89" s="17" t="str">
        <f>IF(ISERROR(VLOOKUP($A89,通讯录!$A:$H,5,FALSE)&amp;""),"",VLOOKUP($A89,通讯录!$A:$H,5,FALSE)&amp;"")</f>
        <v/>
      </c>
      <c r="E89" s="17" t="str">
        <f>IF(ISERROR(VLOOKUP($A89,通讯录!$A:$H,6,FALSE)&amp;""),"",VLOOKUP($A89,通讯录!$A:$H,6,FALSE)&amp;"")</f>
        <v/>
      </c>
      <c r="F89" s="17" t="str">
        <f>IF(ISERROR(VLOOKUP($A89,通讯录!$A:$H,4,FALSE)&amp;""),"",VLOOKUP($A89,通讯录!$A:$H,4,FALSE)&amp;"")</f>
        <v/>
      </c>
      <c r="G89" s="17" t="str">
        <f>IF(ISERROR(VLOOKUP($A89,通讯录!$A:$H,8,FALSE)&amp;""),"",VLOOKUP($A89,通讯录!$A:$H,8,FALSE)&amp;"")</f>
        <v/>
      </c>
      <c r="K89" s="26" t="str">
        <f t="shared" si="4"/>
        <v/>
      </c>
      <c r="L89" s="26" t="str">
        <f t="shared" si="3"/>
        <v/>
      </c>
      <c r="M89" s="26"/>
      <c r="N89" s="26"/>
      <c r="O89" s="26"/>
      <c r="P89" s="26"/>
      <c r="Q89" s="26"/>
      <c r="R89" s="26"/>
    </row>
    <row r="90" s="17" customFormat="1" spans="1:18">
      <c r="A90" s="25"/>
      <c r="B90" s="17" t="str">
        <f>IF(ISERROR(VLOOKUP($A90,通讯录!$A:$H,3,FALSE)&amp;""),"",VLOOKUP($A90,通讯录!$A:$H,3,FALSE)&amp;"")</f>
        <v/>
      </c>
      <c r="C90" s="17" t="str">
        <f>IF(ISERROR(VLOOKUP($A90,通讯录!$A:$H,7,FALSE)&amp;""),"",VLOOKUP($A90,通讯录!$A:$H,7,FALSE)&amp;"")</f>
        <v/>
      </c>
      <c r="D90" s="17" t="str">
        <f>IF(ISERROR(VLOOKUP($A90,通讯录!$A:$H,5,FALSE)&amp;""),"",VLOOKUP($A90,通讯录!$A:$H,5,FALSE)&amp;"")</f>
        <v/>
      </c>
      <c r="E90" s="17" t="str">
        <f>IF(ISERROR(VLOOKUP($A90,通讯录!$A:$H,6,FALSE)&amp;""),"",VLOOKUP($A90,通讯录!$A:$H,6,FALSE)&amp;"")</f>
        <v/>
      </c>
      <c r="F90" s="17" t="str">
        <f>IF(ISERROR(VLOOKUP($A90,通讯录!$A:$H,4,FALSE)&amp;""),"",VLOOKUP($A90,通讯录!$A:$H,4,FALSE)&amp;"")</f>
        <v/>
      </c>
      <c r="G90" s="17" t="str">
        <f>IF(ISERROR(VLOOKUP($A90,通讯录!$A:$H,8,FALSE)&amp;""),"",VLOOKUP($A90,通讯录!$A:$H,8,FALSE)&amp;"")</f>
        <v/>
      </c>
      <c r="K90" s="26" t="str">
        <f t="shared" si="4"/>
        <v/>
      </c>
      <c r="L90" s="26" t="str">
        <f t="shared" si="3"/>
        <v/>
      </c>
      <c r="M90" s="26"/>
      <c r="N90" s="26"/>
      <c r="O90" s="26"/>
      <c r="P90" s="26"/>
      <c r="Q90" s="26"/>
      <c r="R90" s="26"/>
    </row>
    <row r="91" s="17" customFormat="1" spans="1:18">
      <c r="A91" s="25"/>
      <c r="B91" s="17" t="str">
        <f>IF(ISERROR(VLOOKUP($A91,通讯录!$A:$H,3,FALSE)&amp;""),"",VLOOKUP($A91,通讯录!$A:$H,3,FALSE)&amp;"")</f>
        <v/>
      </c>
      <c r="C91" s="17" t="str">
        <f>IF(ISERROR(VLOOKUP($A91,通讯录!$A:$H,7,FALSE)&amp;""),"",VLOOKUP($A91,通讯录!$A:$H,7,FALSE)&amp;"")</f>
        <v/>
      </c>
      <c r="D91" s="17" t="str">
        <f>IF(ISERROR(VLOOKUP($A91,通讯录!$A:$H,5,FALSE)&amp;""),"",VLOOKUP($A91,通讯录!$A:$H,5,FALSE)&amp;"")</f>
        <v/>
      </c>
      <c r="E91" s="17" t="str">
        <f>IF(ISERROR(VLOOKUP($A91,通讯录!$A:$H,6,FALSE)&amp;""),"",VLOOKUP($A91,通讯录!$A:$H,6,FALSE)&amp;"")</f>
        <v/>
      </c>
      <c r="F91" s="17" t="str">
        <f>IF(ISERROR(VLOOKUP($A91,通讯录!$A:$H,4,FALSE)&amp;""),"",VLOOKUP($A91,通讯录!$A:$H,4,FALSE)&amp;"")</f>
        <v/>
      </c>
      <c r="G91" s="17" t="str">
        <f>IF(ISERROR(VLOOKUP($A91,通讯录!$A:$H,8,FALSE)&amp;""),"",VLOOKUP($A91,通讯录!$A:$H,8,FALSE)&amp;"")</f>
        <v/>
      </c>
      <c r="K91" s="26" t="str">
        <f t="shared" si="4"/>
        <v/>
      </c>
      <c r="L91" s="26" t="str">
        <f t="shared" si="3"/>
        <v/>
      </c>
      <c r="M91" s="26"/>
      <c r="N91" s="26"/>
      <c r="O91" s="26"/>
      <c r="P91" s="26"/>
      <c r="Q91" s="26"/>
      <c r="R91" s="26"/>
    </row>
    <row r="92" s="17" customFormat="1" spans="1:18">
      <c r="A92" s="25"/>
      <c r="B92" s="17" t="str">
        <f>IF(ISERROR(VLOOKUP($A92,通讯录!$A:$H,3,FALSE)&amp;""),"",VLOOKUP($A92,通讯录!$A:$H,3,FALSE)&amp;"")</f>
        <v/>
      </c>
      <c r="C92" s="17" t="str">
        <f>IF(ISERROR(VLOOKUP($A92,通讯录!$A:$H,7,FALSE)&amp;""),"",VLOOKUP($A92,通讯录!$A:$H,7,FALSE)&amp;"")</f>
        <v/>
      </c>
      <c r="D92" s="17" t="str">
        <f>IF(ISERROR(VLOOKUP($A92,通讯录!$A:$H,5,FALSE)&amp;""),"",VLOOKUP($A92,通讯录!$A:$H,5,FALSE)&amp;"")</f>
        <v/>
      </c>
      <c r="E92" s="17" t="str">
        <f>IF(ISERROR(VLOOKUP($A92,通讯录!$A:$H,6,FALSE)&amp;""),"",VLOOKUP($A92,通讯录!$A:$H,6,FALSE)&amp;"")</f>
        <v/>
      </c>
      <c r="F92" s="17" t="str">
        <f>IF(ISERROR(VLOOKUP($A92,通讯录!$A:$H,4,FALSE)&amp;""),"",VLOOKUP($A92,通讯录!$A:$H,4,FALSE)&amp;"")</f>
        <v/>
      </c>
      <c r="G92" s="17" t="str">
        <f>IF(ISERROR(VLOOKUP($A92,通讯录!$A:$H,8,FALSE)&amp;""),"",VLOOKUP($A92,通讯录!$A:$H,8,FALSE)&amp;"")</f>
        <v/>
      </c>
      <c r="K92" s="26" t="str">
        <f t="shared" si="4"/>
        <v/>
      </c>
      <c r="L92" s="26" t="str">
        <f t="shared" si="3"/>
        <v/>
      </c>
      <c r="M92" s="26"/>
      <c r="N92" s="26"/>
      <c r="O92" s="26"/>
      <c r="P92" s="26"/>
      <c r="Q92" s="26"/>
      <c r="R92" s="26"/>
    </row>
    <row r="93" s="17" customFormat="1" spans="1:18">
      <c r="A93" s="25"/>
      <c r="B93" s="17" t="str">
        <f>IF(ISERROR(VLOOKUP($A93,通讯录!$A:$H,3,FALSE)&amp;""),"",VLOOKUP($A93,通讯录!$A:$H,3,FALSE)&amp;"")</f>
        <v/>
      </c>
      <c r="C93" s="17" t="str">
        <f>IF(ISERROR(VLOOKUP($A93,通讯录!$A:$H,7,FALSE)&amp;""),"",VLOOKUP($A93,通讯录!$A:$H,7,FALSE)&amp;"")</f>
        <v/>
      </c>
      <c r="D93" s="17" t="str">
        <f>IF(ISERROR(VLOOKUP($A93,通讯录!$A:$H,5,FALSE)&amp;""),"",VLOOKUP($A93,通讯录!$A:$H,5,FALSE)&amp;"")</f>
        <v/>
      </c>
      <c r="E93" s="17" t="str">
        <f>IF(ISERROR(VLOOKUP($A93,通讯录!$A:$H,6,FALSE)&amp;""),"",VLOOKUP($A93,通讯录!$A:$H,6,FALSE)&amp;"")</f>
        <v/>
      </c>
      <c r="F93" s="17" t="str">
        <f>IF(ISERROR(VLOOKUP($A93,通讯录!$A:$H,4,FALSE)&amp;""),"",VLOOKUP($A93,通讯录!$A:$H,4,FALSE)&amp;"")</f>
        <v/>
      </c>
      <c r="G93" s="17" t="str">
        <f>IF(ISERROR(VLOOKUP($A93,通讯录!$A:$H,8,FALSE)&amp;""),"",VLOOKUP($A93,通讯录!$A:$H,8,FALSE)&amp;"")</f>
        <v/>
      </c>
      <c r="K93" s="26" t="str">
        <f t="shared" si="4"/>
        <v/>
      </c>
      <c r="L93" s="26" t="str">
        <f t="shared" si="3"/>
        <v/>
      </c>
      <c r="M93" s="26"/>
      <c r="N93" s="26"/>
      <c r="O93" s="26"/>
      <c r="P93" s="26"/>
      <c r="Q93" s="26"/>
      <c r="R93" s="26"/>
    </row>
    <row r="94" s="17" customFormat="1" spans="1:18">
      <c r="A94" s="25"/>
      <c r="B94" s="17" t="str">
        <f>IF(ISERROR(VLOOKUP($A94,通讯录!$A:$H,3,FALSE)&amp;""),"",VLOOKUP($A94,通讯录!$A:$H,3,FALSE)&amp;"")</f>
        <v/>
      </c>
      <c r="C94" s="17" t="str">
        <f>IF(ISERROR(VLOOKUP($A94,通讯录!$A:$H,7,FALSE)&amp;""),"",VLOOKUP($A94,通讯录!$A:$H,7,FALSE)&amp;"")</f>
        <v/>
      </c>
      <c r="D94" s="17" t="str">
        <f>IF(ISERROR(VLOOKUP($A94,通讯录!$A:$H,5,FALSE)&amp;""),"",VLOOKUP($A94,通讯录!$A:$H,5,FALSE)&amp;"")</f>
        <v/>
      </c>
      <c r="E94" s="17" t="str">
        <f>IF(ISERROR(VLOOKUP($A94,通讯录!$A:$H,6,FALSE)&amp;""),"",VLOOKUP($A94,通讯录!$A:$H,6,FALSE)&amp;"")</f>
        <v/>
      </c>
      <c r="F94" s="17" t="str">
        <f>IF(ISERROR(VLOOKUP($A94,通讯录!$A:$H,4,FALSE)&amp;""),"",VLOOKUP($A94,通讯录!$A:$H,4,FALSE)&amp;"")</f>
        <v/>
      </c>
      <c r="G94" s="17" t="str">
        <f>IF(ISERROR(VLOOKUP($A94,通讯录!$A:$H,8,FALSE)&amp;""),"",VLOOKUP($A94,通讯录!$A:$H,8,FALSE)&amp;"")</f>
        <v/>
      </c>
      <c r="K94" s="26" t="str">
        <f t="shared" si="4"/>
        <v/>
      </c>
      <c r="L94" s="26" t="str">
        <f t="shared" si="3"/>
        <v/>
      </c>
      <c r="M94" s="26"/>
      <c r="N94" s="26"/>
      <c r="O94" s="26"/>
      <c r="P94" s="26"/>
      <c r="Q94" s="26"/>
      <c r="R94" s="26"/>
    </row>
    <row r="95" s="17" customFormat="1" spans="1:18">
      <c r="A95" s="25"/>
      <c r="B95" s="17" t="str">
        <f>IF(ISERROR(VLOOKUP($A95,通讯录!$A:$H,3,FALSE)&amp;""),"",VLOOKUP($A95,通讯录!$A:$H,3,FALSE)&amp;"")</f>
        <v/>
      </c>
      <c r="C95" s="17" t="str">
        <f>IF(ISERROR(VLOOKUP($A95,通讯录!$A:$H,7,FALSE)&amp;""),"",VLOOKUP($A95,通讯录!$A:$H,7,FALSE)&amp;"")</f>
        <v/>
      </c>
      <c r="D95" s="17" t="str">
        <f>IF(ISERROR(VLOOKUP($A95,通讯录!$A:$H,5,FALSE)&amp;""),"",VLOOKUP($A95,通讯录!$A:$H,5,FALSE)&amp;"")</f>
        <v/>
      </c>
      <c r="E95" s="17" t="str">
        <f>IF(ISERROR(VLOOKUP($A95,通讯录!$A:$H,6,FALSE)&amp;""),"",VLOOKUP($A95,通讯录!$A:$H,6,FALSE)&amp;"")</f>
        <v/>
      </c>
      <c r="F95" s="17" t="str">
        <f>IF(ISERROR(VLOOKUP($A95,通讯录!$A:$H,4,FALSE)&amp;""),"",VLOOKUP($A95,通讯录!$A:$H,4,FALSE)&amp;"")</f>
        <v/>
      </c>
      <c r="G95" s="17" t="str">
        <f>IF(ISERROR(VLOOKUP($A95,通讯录!$A:$H,8,FALSE)&amp;""),"",VLOOKUP($A95,通讯录!$A:$H,8,FALSE)&amp;"")</f>
        <v/>
      </c>
      <c r="K95" s="26" t="str">
        <f t="shared" si="4"/>
        <v/>
      </c>
      <c r="L95" s="26" t="str">
        <f t="shared" si="3"/>
        <v/>
      </c>
      <c r="M95" s="26"/>
      <c r="N95" s="26"/>
      <c r="O95" s="26"/>
      <c r="P95" s="26"/>
      <c r="Q95" s="26"/>
      <c r="R95" s="26"/>
    </row>
    <row r="96" s="17" customFormat="1" spans="1:18">
      <c r="A96" s="25"/>
      <c r="B96" s="17" t="str">
        <f>IF(ISERROR(VLOOKUP($A96,通讯录!$A:$H,3,FALSE)&amp;""),"",VLOOKUP($A96,通讯录!$A:$H,3,FALSE)&amp;"")</f>
        <v/>
      </c>
      <c r="C96" s="17" t="str">
        <f>IF(ISERROR(VLOOKUP($A96,通讯录!$A:$H,7,FALSE)&amp;""),"",VLOOKUP($A96,通讯录!$A:$H,7,FALSE)&amp;"")</f>
        <v/>
      </c>
      <c r="D96" s="17" t="str">
        <f>IF(ISERROR(VLOOKUP($A96,通讯录!$A:$H,5,FALSE)&amp;""),"",VLOOKUP($A96,通讯录!$A:$H,5,FALSE)&amp;"")</f>
        <v/>
      </c>
      <c r="E96" s="17" t="str">
        <f>IF(ISERROR(VLOOKUP($A96,通讯录!$A:$H,6,FALSE)&amp;""),"",VLOOKUP($A96,通讯录!$A:$H,6,FALSE)&amp;"")</f>
        <v/>
      </c>
      <c r="F96" s="17" t="str">
        <f>IF(ISERROR(VLOOKUP($A96,通讯录!$A:$H,4,FALSE)&amp;""),"",VLOOKUP($A96,通讯录!$A:$H,4,FALSE)&amp;"")</f>
        <v/>
      </c>
      <c r="G96" s="17" t="str">
        <f>IF(ISERROR(VLOOKUP($A96,通讯录!$A:$H,8,FALSE)&amp;""),"",VLOOKUP($A96,通讯录!$A:$H,8,FALSE)&amp;"")</f>
        <v/>
      </c>
      <c r="K96" s="26" t="str">
        <f t="shared" si="4"/>
        <v/>
      </c>
      <c r="L96" s="26" t="str">
        <f t="shared" si="3"/>
        <v/>
      </c>
      <c r="M96" s="26"/>
      <c r="N96" s="26"/>
      <c r="O96" s="26"/>
      <c r="P96" s="26"/>
      <c r="Q96" s="26"/>
      <c r="R96" s="26"/>
    </row>
    <row r="97" s="17" customFormat="1" spans="1:18">
      <c r="A97" s="25"/>
      <c r="B97" s="17" t="str">
        <f>IF(ISERROR(VLOOKUP($A97,通讯录!$A:$H,3,FALSE)&amp;""),"",VLOOKUP($A97,通讯录!$A:$H,3,FALSE)&amp;"")</f>
        <v/>
      </c>
      <c r="C97" s="17" t="str">
        <f>IF(ISERROR(VLOOKUP($A97,通讯录!$A:$H,7,FALSE)&amp;""),"",VLOOKUP($A97,通讯录!$A:$H,7,FALSE)&amp;"")</f>
        <v/>
      </c>
      <c r="D97" s="17" t="str">
        <f>IF(ISERROR(VLOOKUP($A97,通讯录!$A:$H,5,FALSE)&amp;""),"",VLOOKUP($A97,通讯录!$A:$H,5,FALSE)&amp;"")</f>
        <v/>
      </c>
      <c r="E97" s="17" t="str">
        <f>IF(ISERROR(VLOOKUP($A97,通讯录!$A:$H,6,FALSE)&amp;""),"",VLOOKUP($A97,通讯录!$A:$H,6,FALSE)&amp;"")</f>
        <v/>
      </c>
      <c r="F97" s="17" t="str">
        <f>IF(ISERROR(VLOOKUP($A97,通讯录!$A:$H,4,FALSE)&amp;""),"",VLOOKUP($A97,通讯录!$A:$H,4,FALSE)&amp;"")</f>
        <v/>
      </c>
      <c r="G97" s="17" t="str">
        <f>IF(ISERROR(VLOOKUP($A97,通讯录!$A:$H,8,FALSE)&amp;""),"",VLOOKUP($A97,通讯录!$A:$H,8,FALSE)&amp;"")</f>
        <v/>
      </c>
      <c r="K97" s="26" t="str">
        <f t="shared" si="4"/>
        <v/>
      </c>
      <c r="L97" s="26" t="str">
        <f t="shared" si="3"/>
        <v/>
      </c>
      <c r="M97" s="26"/>
      <c r="N97" s="26"/>
      <c r="O97" s="26"/>
      <c r="P97" s="26"/>
      <c r="Q97" s="26"/>
      <c r="R97" s="26"/>
    </row>
    <row r="98" s="17" customFormat="1" spans="1:18">
      <c r="A98" s="25"/>
      <c r="B98" s="17" t="str">
        <f>IF(ISERROR(VLOOKUP($A98,通讯录!$A:$H,3,FALSE)&amp;""),"",VLOOKUP($A98,通讯录!$A:$H,3,FALSE)&amp;"")</f>
        <v/>
      </c>
      <c r="C98" s="17" t="str">
        <f>IF(ISERROR(VLOOKUP($A98,通讯录!$A:$H,7,FALSE)&amp;""),"",VLOOKUP($A98,通讯录!$A:$H,7,FALSE)&amp;"")</f>
        <v/>
      </c>
      <c r="D98" s="17" t="str">
        <f>IF(ISERROR(VLOOKUP($A98,通讯录!$A:$H,5,FALSE)&amp;""),"",VLOOKUP($A98,通讯录!$A:$H,5,FALSE)&amp;"")</f>
        <v/>
      </c>
      <c r="E98" s="17" t="str">
        <f>IF(ISERROR(VLOOKUP($A98,通讯录!$A:$H,6,FALSE)&amp;""),"",VLOOKUP($A98,通讯录!$A:$H,6,FALSE)&amp;"")</f>
        <v/>
      </c>
      <c r="F98" s="17" t="str">
        <f>IF(ISERROR(VLOOKUP($A98,通讯录!$A:$H,4,FALSE)&amp;""),"",VLOOKUP($A98,通讯录!$A:$H,4,FALSE)&amp;"")</f>
        <v/>
      </c>
      <c r="G98" s="17" t="str">
        <f>IF(ISERROR(VLOOKUP($A98,通讯录!$A:$H,8,FALSE)&amp;""),"",VLOOKUP($A98,通讯录!$A:$H,8,FALSE)&amp;"")</f>
        <v/>
      </c>
      <c r="K98" s="26" t="str">
        <f t="shared" si="4"/>
        <v/>
      </c>
      <c r="L98" s="26" t="str">
        <f t="shared" si="3"/>
        <v/>
      </c>
      <c r="M98" s="26"/>
      <c r="N98" s="26"/>
      <c r="O98" s="26"/>
      <c r="P98" s="26"/>
      <c r="Q98" s="26"/>
      <c r="R98" s="26"/>
    </row>
    <row r="99" s="17" customFormat="1" spans="1:18">
      <c r="A99" s="25"/>
      <c r="B99" s="17" t="str">
        <f>IF(ISERROR(VLOOKUP($A99,通讯录!$A:$H,3,FALSE)&amp;""),"",VLOOKUP($A99,通讯录!$A:$H,3,FALSE)&amp;"")</f>
        <v/>
      </c>
      <c r="C99" s="17" t="str">
        <f>IF(ISERROR(VLOOKUP($A99,通讯录!$A:$H,7,FALSE)&amp;""),"",VLOOKUP($A99,通讯录!$A:$H,7,FALSE)&amp;"")</f>
        <v/>
      </c>
      <c r="D99" s="17" t="str">
        <f>IF(ISERROR(VLOOKUP($A99,通讯录!$A:$H,5,FALSE)&amp;""),"",VLOOKUP($A99,通讯录!$A:$H,5,FALSE)&amp;"")</f>
        <v/>
      </c>
      <c r="E99" s="17" t="str">
        <f>IF(ISERROR(VLOOKUP($A99,通讯录!$A:$H,6,FALSE)&amp;""),"",VLOOKUP($A99,通讯录!$A:$H,6,FALSE)&amp;"")</f>
        <v/>
      </c>
      <c r="F99" s="17" t="str">
        <f>IF(ISERROR(VLOOKUP($A99,通讯录!$A:$H,4,FALSE)&amp;""),"",VLOOKUP($A99,通讯录!$A:$H,4,FALSE)&amp;"")</f>
        <v/>
      </c>
      <c r="G99" s="17" t="str">
        <f>IF(ISERROR(VLOOKUP($A99,通讯录!$A:$H,8,FALSE)&amp;""),"",VLOOKUP($A99,通讯录!$A:$H,8,FALSE)&amp;"")</f>
        <v/>
      </c>
      <c r="K99" s="26" t="str">
        <f t="shared" si="4"/>
        <v/>
      </c>
      <c r="L99" s="26" t="str">
        <f t="shared" si="3"/>
        <v/>
      </c>
      <c r="M99" s="26"/>
      <c r="N99" s="26"/>
      <c r="O99" s="26"/>
      <c r="P99" s="26"/>
      <c r="Q99" s="26"/>
      <c r="R99" s="26"/>
    </row>
    <row r="100" s="17" customFormat="1" spans="2:18">
      <c r="B100" s="17" t="str">
        <f>IF(ISERROR(VLOOKUP($A100,通讯录!$A:$H,3,FALSE)&amp;""),"",VLOOKUP($A100,通讯录!$A:$H,3,FALSE)&amp;"")</f>
        <v/>
      </c>
      <c r="C100" s="17" t="str">
        <f>IF(ISERROR(VLOOKUP($A100,通讯录!$A:$H,7,FALSE)&amp;""),"",VLOOKUP($A100,通讯录!$A:$H,7,FALSE)&amp;"")</f>
        <v/>
      </c>
      <c r="D100" s="17" t="str">
        <f>IF(ISERROR(VLOOKUP($A100,通讯录!$A:$H,5,FALSE)&amp;""),"",VLOOKUP($A100,通讯录!$A:$H,5,FALSE)&amp;"")</f>
        <v/>
      </c>
      <c r="E100" s="17" t="str">
        <f>IF(ISERROR(VLOOKUP($A100,通讯录!$A:$H,6,FALSE)&amp;""),"",VLOOKUP($A100,通讯录!$A:$H,6,FALSE)&amp;"")</f>
        <v/>
      </c>
      <c r="F100" s="17" t="str">
        <f>IF(ISERROR(VLOOKUP($A100,通讯录!$A:$H,4,FALSE)&amp;""),"",VLOOKUP($A100,通讯录!$A:$H,4,FALSE)&amp;"")</f>
        <v/>
      </c>
      <c r="G100" s="17" t="str">
        <f>IF(ISERROR(VLOOKUP($A100,通讯录!$A:$H,8,FALSE)&amp;""),"",VLOOKUP($A100,通讯录!$A:$H,8,FALSE)&amp;"")</f>
        <v/>
      </c>
      <c r="K100" s="26"/>
      <c r="L100" s="26" t="str">
        <f t="shared" si="3"/>
        <v/>
      </c>
      <c r="M100" s="26"/>
      <c r="N100" s="26"/>
      <c r="O100" s="26"/>
      <c r="P100" s="26"/>
      <c r="Q100" s="26"/>
      <c r="R100" s="26"/>
    </row>
    <row r="101" s="17" customFormat="1" spans="2:18">
      <c r="B101" s="17" t="str">
        <f>IF(ISERROR(VLOOKUP($A101,通讯录!$A:$H,3,FALSE)&amp;""),"",VLOOKUP($A101,通讯录!$A:$H,3,FALSE)&amp;"")</f>
        <v/>
      </c>
      <c r="C101" s="17" t="str">
        <f>IF(ISERROR(VLOOKUP($A101,通讯录!$A:$H,7,FALSE)&amp;""),"",VLOOKUP($A101,通讯录!$A:$H,7,FALSE)&amp;"")</f>
        <v/>
      </c>
      <c r="D101" s="17" t="str">
        <f>IF(ISERROR(VLOOKUP($A101,通讯录!$A:$H,5,FALSE)&amp;""),"",VLOOKUP($A101,通讯录!$A:$H,5,FALSE)&amp;"")</f>
        <v/>
      </c>
      <c r="E101" s="17" t="str">
        <f>IF(ISERROR(VLOOKUP($A101,通讯录!$A:$H,6,FALSE)&amp;""),"",VLOOKUP($A101,通讯录!$A:$H,6,FALSE)&amp;"")</f>
        <v/>
      </c>
      <c r="F101" s="17" t="str">
        <f>IF(ISERROR(VLOOKUP($A101,通讯录!$A:$H,4,FALSE)&amp;""),"",VLOOKUP($A101,通讯录!$A:$H,4,FALSE)&amp;"")</f>
        <v/>
      </c>
      <c r="G101" s="17" t="str">
        <f>IF(ISERROR(VLOOKUP($A101,通讯录!$A:$H,8,FALSE)&amp;""),"",VLOOKUP($A101,通讯录!$A:$H,8,FALSE)&amp;"")</f>
        <v/>
      </c>
      <c r="K101" s="26"/>
      <c r="L101" s="26" t="str">
        <f t="shared" si="3"/>
        <v/>
      </c>
      <c r="M101" s="26"/>
      <c r="N101" s="26"/>
      <c r="O101" s="26"/>
      <c r="P101" s="26"/>
      <c r="Q101" s="26"/>
      <c r="R101" s="26"/>
    </row>
    <row r="102" s="17" customFormat="1" spans="2:18">
      <c r="B102" s="17" t="str">
        <f>IF(ISERROR(VLOOKUP($A102,通讯录!$A:$H,3,FALSE)&amp;""),"",VLOOKUP($A102,通讯录!$A:$H,3,FALSE)&amp;"")</f>
        <v/>
      </c>
      <c r="C102" s="17" t="str">
        <f>IF(ISERROR(VLOOKUP($A102,通讯录!$A:$H,7,FALSE)&amp;""),"",VLOOKUP($A102,通讯录!$A:$H,7,FALSE)&amp;"")</f>
        <v/>
      </c>
      <c r="D102" s="17" t="str">
        <f>IF(ISERROR(VLOOKUP($A102,通讯录!$A:$H,5,FALSE)&amp;""),"",VLOOKUP($A102,通讯录!$A:$H,5,FALSE)&amp;"")</f>
        <v/>
      </c>
      <c r="E102" s="17" t="str">
        <f>IF(ISERROR(VLOOKUP($A102,通讯录!$A:$H,6,FALSE)&amp;""),"",VLOOKUP($A102,通讯录!$A:$H,6,FALSE)&amp;"")</f>
        <v/>
      </c>
      <c r="F102" s="17" t="str">
        <f>IF(ISERROR(VLOOKUP($A102,通讯录!$A:$H,4,FALSE)&amp;""),"",VLOOKUP($A102,通讯录!$A:$H,4,FALSE)&amp;"")</f>
        <v/>
      </c>
      <c r="G102" s="17" t="str">
        <f>IF(ISERROR(VLOOKUP($A102,通讯录!$A:$H,8,FALSE)&amp;""),"",VLOOKUP($A102,通讯录!$A:$H,8,FALSE)&amp;"")</f>
        <v/>
      </c>
      <c r="K102" s="26"/>
      <c r="L102" s="26" t="str">
        <f t="shared" si="3"/>
        <v/>
      </c>
      <c r="M102" s="26"/>
      <c r="N102" s="26"/>
      <c r="O102" s="26"/>
      <c r="P102" s="26"/>
      <c r="Q102" s="26"/>
      <c r="R102" s="26"/>
    </row>
    <row r="103" s="17" customFormat="1" spans="2:18">
      <c r="B103" s="17" t="str">
        <f>IF(ISERROR(VLOOKUP($A103,通讯录!$A:$H,3,FALSE)&amp;""),"",VLOOKUP($A103,通讯录!$A:$H,3,FALSE)&amp;"")</f>
        <v/>
      </c>
      <c r="C103" s="17" t="str">
        <f>IF(ISERROR(VLOOKUP($A103,通讯录!$A:$H,7,FALSE)&amp;""),"",VLOOKUP($A103,通讯录!$A:$H,7,FALSE)&amp;"")</f>
        <v/>
      </c>
      <c r="D103" s="17" t="str">
        <f>IF(ISERROR(VLOOKUP($A103,通讯录!$A:$H,5,FALSE)&amp;""),"",VLOOKUP($A103,通讯录!$A:$H,5,FALSE)&amp;"")</f>
        <v/>
      </c>
      <c r="E103" s="17" t="str">
        <f>IF(ISERROR(VLOOKUP($A103,通讯录!$A:$H,6,FALSE)&amp;""),"",VLOOKUP($A103,通讯录!$A:$H,6,FALSE)&amp;"")</f>
        <v/>
      </c>
      <c r="F103" s="17" t="str">
        <f>IF(ISERROR(VLOOKUP($A103,通讯录!$A:$H,4,FALSE)&amp;""),"",VLOOKUP($A103,通讯录!$A:$H,4,FALSE)&amp;"")</f>
        <v/>
      </c>
      <c r="G103" s="17" t="str">
        <f>IF(ISERROR(VLOOKUP($A103,通讯录!$A:$H,8,FALSE)&amp;""),"",VLOOKUP($A103,通讯录!$A:$H,8,FALSE)&amp;"")</f>
        <v/>
      </c>
      <c r="K103" s="26"/>
      <c r="L103" s="26" t="str">
        <f t="shared" ref="L103:L166" si="5">LEFT(A103,1)</f>
        <v/>
      </c>
      <c r="M103" s="26"/>
      <c r="N103" s="26"/>
      <c r="O103" s="26"/>
      <c r="P103" s="26"/>
      <c r="Q103" s="26"/>
      <c r="R103" s="26"/>
    </row>
    <row r="104" s="17" customFormat="1" spans="2:18">
      <c r="B104" s="17" t="str">
        <f>IF(ISERROR(VLOOKUP($A104,通讯录!$A:$H,3,FALSE)&amp;""),"",VLOOKUP($A104,通讯录!$A:$H,3,FALSE)&amp;"")</f>
        <v/>
      </c>
      <c r="C104" s="17" t="str">
        <f>IF(ISERROR(VLOOKUP($A104,通讯录!$A:$H,7,FALSE)&amp;""),"",VLOOKUP($A104,通讯录!$A:$H,7,FALSE)&amp;"")</f>
        <v/>
      </c>
      <c r="D104" s="17" t="str">
        <f>IF(ISERROR(VLOOKUP($A104,通讯录!$A:$H,5,FALSE)&amp;""),"",VLOOKUP($A104,通讯录!$A:$H,5,FALSE)&amp;"")</f>
        <v/>
      </c>
      <c r="E104" s="17" t="str">
        <f>IF(ISERROR(VLOOKUP($A104,通讯录!$A:$H,6,FALSE)&amp;""),"",VLOOKUP($A104,通讯录!$A:$H,6,FALSE)&amp;"")</f>
        <v/>
      </c>
      <c r="F104" s="17" t="str">
        <f>IF(ISERROR(VLOOKUP($A104,通讯录!$A:$H,4,FALSE)&amp;""),"",VLOOKUP($A104,通讯录!$A:$H,4,FALSE)&amp;"")</f>
        <v/>
      </c>
      <c r="G104" s="17" t="str">
        <f>IF(ISERROR(VLOOKUP($A104,通讯录!$A:$H,8,FALSE)&amp;""),"",VLOOKUP($A104,通讯录!$A:$H,8,FALSE)&amp;"")</f>
        <v/>
      </c>
      <c r="K104" s="26"/>
      <c r="L104" s="26" t="str">
        <f t="shared" si="5"/>
        <v/>
      </c>
      <c r="M104" s="26"/>
      <c r="N104" s="26"/>
      <c r="O104" s="26"/>
      <c r="P104" s="26"/>
      <c r="Q104" s="26"/>
      <c r="R104" s="26"/>
    </row>
    <row r="105" s="17" customFormat="1" spans="2:18">
      <c r="B105" s="17" t="str">
        <f>IF(ISERROR(VLOOKUP($A105,通讯录!$A:$H,3,FALSE)&amp;""),"",VLOOKUP($A105,通讯录!$A:$H,3,FALSE)&amp;"")</f>
        <v/>
      </c>
      <c r="C105" s="17" t="str">
        <f>IF(ISERROR(VLOOKUP($A105,通讯录!$A:$H,7,FALSE)&amp;""),"",VLOOKUP($A105,通讯录!$A:$H,7,FALSE)&amp;"")</f>
        <v/>
      </c>
      <c r="D105" s="17" t="str">
        <f>IF(ISERROR(VLOOKUP($A105,通讯录!$A:$H,5,FALSE)&amp;""),"",VLOOKUP($A105,通讯录!$A:$H,5,FALSE)&amp;"")</f>
        <v/>
      </c>
      <c r="E105" s="17" t="str">
        <f>IF(ISERROR(VLOOKUP($A105,通讯录!$A:$H,6,FALSE)&amp;""),"",VLOOKUP($A105,通讯录!$A:$H,6,FALSE)&amp;"")</f>
        <v/>
      </c>
      <c r="F105" s="17" t="str">
        <f>IF(ISERROR(VLOOKUP($A105,通讯录!$A:$H,4,FALSE)&amp;""),"",VLOOKUP($A105,通讯录!$A:$H,4,FALSE)&amp;"")</f>
        <v/>
      </c>
      <c r="G105" s="17" t="str">
        <f>IF(ISERROR(VLOOKUP($A105,通讯录!$A:$H,8,FALSE)&amp;""),"",VLOOKUP($A105,通讯录!$A:$H,8,FALSE)&amp;"")</f>
        <v/>
      </c>
      <c r="K105" s="26"/>
      <c r="L105" s="26" t="str">
        <f t="shared" si="5"/>
        <v/>
      </c>
      <c r="M105" s="26"/>
      <c r="N105" s="26"/>
      <c r="O105" s="26"/>
      <c r="P105" s="26"/>
      <c r="Q105" s="26"/>
      <c r="R105" s="26"/>
    </row>
    <row r="106" s="17" customFormat="1" spans="2:18">
      <c r="B106" s="17" t="str">
        <f>IF(ISERROR(VLOOKUP($A106,通讯录!$A:$H,3,FALSE)&amp;""),"",VLOOKUP($A106,通讯录!$A:$H,3,FALSE)&amp;"")</f>
        <v/>
      </c>
      <c r="C106" s="17" t="str">
        <f>IF(ISERROR(VLOOKUP($A106,通讯录!$A:$H,7,FALSE)&amp;""),"",VLOOKUP($A106,通讯录!$A:$H,7,FALSE)&amp;"")</f>
        <v/>
      </c>
      <c r="D106" s="17" t="str">
        <f>IF(ISERROR(VLOOKUP($A106,通讯录!$A:$H,5,FALSE)&amp;""),"",VLOOKUP($A106,通讯录!$A:$H,5,FALSE)&amp;"")</f>
        <v/>
      </c>
      <c r="E106" s="17" t="str">
        <f>IF(ISERROR(VLOOKUP($A106,通讯录!$A:$H,6,FALSE)&amp;""),"",VLOOKUP($A106,通讯录!$A:$H,6,FALSE)&amp;"")</f>
        <v/>
      </c>
      <c r="F106" s="17" t="str">
        <f>IF(ISERROR(VLOOKUP($A106,通讯录!$A:$H,4,FALSE)&amp;""),"",VLOOKUP($A106,通讯录!$A:$H,4,FALSE)&amp;"")</f>
        <v/>
      </c>
      <c r="G106" s="17" t="str">
        <f>IF(ISERROR(VLOOKUP($A106,通讯录!$A:$H,8,FALSE)&amp;""),"",VLOOKUP($A106,通讯录!$A:$H,8,FALSE)&amp;"")</f>
        <v/>
      </c>
      <c r="K106" s="26"/>
      <c r="L106" s="26" t="str">
        <f t="shared" si="5"/>
        <v/>
      </c>
      <c r="M106" s="26"/>
      <c r="N106" s="26"/>
      <c r="O106" s="26"/>
      <c r="P106" s="26"/>
      <c r="Q106" s="26"/>
      <c r="R106" s="26"/>
    </row>
    <row r="107" s="17" customFormat="1" spans="2:18">
      <c r="B107" s="17" t="str">
        <f>IF(ISERROR(VLOOKUP($A107,通讯录!$A:$H,3,FALSE)&amp;""),"",VLOOKUP($A107,通讯录!$A:$H,3,FALSE)&amp;"")</f>
        <v/>
      </c>
      <c r="C107" s="17" t="str">
        <f>IF(ISERROR(VLOOKUP($A107,通讯录!$A:$H,7,FALSE)&amp;""),"",VLOOKUP($A107,通讯录!$A:$H,7,FALSE)&amp;"")</f>
        <v/>
      </c>
      <c r="D107" s="17" t="str">
        <f>IF(ISERROR(VLOOKUP($A107,通讯录!$A:$H,5,FALSE)&amp;""),"",VLOOKUP($A107,通讯录!$A:$H,5,FALSE)&amp;"")</f>
        <v/>
      </c>
      <c r="E107" s="17" t="str">
        <f>IF(ISERROR(VLOOKUP($A107,通讯录!$A:$H,6,FALSE)&amp;""),"",VLOOKUP($A107,通讯录!$A:$H,6,FALSE)&amp;"")</f>
        <v/>
      </c>
      <c r="F107" s="17" t="str">
        <f>IF(ISERROR(VLOOKUP($A107,通讯录!$A:$H,4,FALSE)&amp;""),"",VLOOKUP($A107,通讯录!$A:$H,4,FALSE)&amp;"")</f>
        <v/>
      </c>
      <c r="G107" s="17" t="str">
        <f>IF(ISERROR(VLOOKUP($A107,通讯录!$A:$H,8,FALSE)&amp;""),"",VLOOKUP($A107,通讯录!$A:$H,8,FALSE)&amp;"")</f>
        <v/>
      </c>
      <c r="K107" s="26"/>
      <c r="L107" s="26" t="str">
        <f t="shared" si="5"/>
        <v/>
      </c>
      <c r="M107" s="26"/>
      <c r="N107" s="26"/>
      <c r="O107" s="26"/>
      <c r="P107" s="26"/>
      <c r="Q107" s="26"/>
      <c r="R107" s="26"/>
    </row>
    <row r="108" s="17" customFormat="1" spans="2:18">
      <c r="B108" s="17" t="str">
        <f>IF(ISERROR(VLOOKUP($A108,通讯录!$A:$H,3,FALSE)&amp;""),"",VLOOKUP($A108,通讯录!$A:$H,3,FALSE)&amp;"")</f>
        <v/>
      </c>
      <c r="C108" s="17" t="str">
        <f>IF(ISERROR(VLOOKUP($A108,通讯录!$A:$H,7,FALSE)&amp;""),"",VLOOKUP($A108,通讯录!$A:$H,7,FALSE)&amp;"")</f>
        <v/>
      </c>
      <c r="D108" s="17" t="str">
        <f>IF(ISERROR(VLOOKUP($A108,通讯录!$A:$H,5,FALSE)&amp;""),"",VLOOKUP($A108,通讯录!$A:$H,5,FALSE)&amp;"")</f>
        <v/>
      </c>
      <c r="E108" s="17" t="str">
        <f>IF(ISERROR(VLOOKUP($A108,通讯录!$A:$H,6,FALSE)&amp;""),"",VLOOKUP($A108,通讯录!$A:$H,6,FALSE)&amp;"")</f>
        <v/>
      </c>
      <c r="F108" s="17" t="str">
        <f>IF(ISERROR(VLOOKUP($A108,通讯录!$A:$H,4,FALSE)&amp;""),"",VLOOKUP($A108,通讯录!$A:$H,4,FALSE)&amp;"")</f>
        <v/>
      </c>
      <c r="G108" s="17" t="str">
        <f>IF(ISERROR(VLOOKUP($A108,通讯录!$A:$H,8,FALSE)&amp;""),"",VLOOKUP($A108,通讯录!$A:$H,8,FALSE)&amp;"")</f>
        <v/>
      </c>
      <c r="K108" s="26"/>
      <c r="L108" s="26" t="str">
        <f t="shared" si="5"/>
        <v/>
      </c>
      <c r="M108" s="26"/>
      <c r="N108" s="26"/>
      <c r="O108" s="26"/>
      <c r="P108" s="26"/>
      <c r="Q108" s="26"/>
      <c r="R108" s="26"/>
    </row>
    <row r="109" s="17" customFormat="1" spans="2:18">
      <c r="B109" s="17" t="str">
        <f>IF(ISERROR(VLOOKUP($A109,通讯录!$A:$H,3,FALSE)&amp;""),"",VLOOKUP($A109,通讯录!$A:$H,3,FALSE)&amp;"")</f>
        <v/>
      </c>
      <c r="C109" s="17" t="str">
        <f>IF(ISERROR(VLOOKUP($A109,通讯录!$A:$H,7,FALSE)&amp;""),"",VLOOKUP($A109,通讯录!$A:$H,7,FALSE)&amp;"")</f>
        <v/>
      </c>
      <c r="D109" s="17" t="str">
        <f>IF(ISERROR(VLOOKUP($A109,通讯录!$A:$H,5,FALSE)&amp;""),"",VLOOKUP($A109,通讯录!$A:$H,5,FALSE)&amp;"")</f>
        <v/>
      </c>
      <c r="E109" s="17" t="str">
        <f>IF(ISERROR(VLOOKUP($A109,通讯录!$A:$H,6,FALSE)&amp;""),"",VLOOKUP($A109,通讯录!$A:$H,6,FALSE)&amp;"")</f>
        <v/>
      </c>
      <c r="F109" s="17" t="str">
        <f>IF(ISERROR(VLOOKUP($A109,通讯录!$A:$H,4,FALSE)&amp;""),"",VLOOKUP($A109,通讯录!$A:$H,4,FALSE)&amp;"")</f>
        <v/>
      </c>
      <c r="G109" s="17" t="str">
        <f>IF(ISERROR(VLOOKUP($A109,通讯录!$A:$H,8,FALSE)&amp;""),"",VLOOKUP($A109,通讯录!$A:$H,8,FALSE)&amp;"")</f>
        <v/>
      </c>
      <c r="K109" s="26"/>
      <c r="L109" s="26" t="str">
        <f t="shared" si="5"/>
        <v/>
      </c>
      <c r="M109" s="26"/>
      <c r="N109" s="26"/>
      <c r="O109" s="26"/>
      <c r="P109" s="26"/>
      <c r="Q109" s="26"/>
      <c r="R109" s="26"/>
    </row>
    <row r="110" s="17" customFormat="1" spans="2:18">
      <c r="B110" s="17" t="str">
        <f>IF(ISERROR(VLOOKUP($A110,通讯录!$A:$H,3,FALSE)&amp;""),"",VLOOKUP($A110,通讯录!$A:$H,3,FALSE)&amp;"")</f>
        <v/>
      </c>
      <c r="C110" s="17" t="str">
        <f>IF(ISERROR(VLOOKUP($A110,通讯录!$A:$H,7,FALSE)&amp;""),"",VLOOKUP($A110,通讯录!$A:$H,7,FALSE)&amp;"")</f>
        <v/>
      </c>
      <c r="D110" s="17" t="str">
        <f>IF(ISERROR(VLOOKUP($A110,通讯录!$A:$H,5,FALSE)&amp;""),"",VLOOKUP($A110,通讯录!$A:$H,5,FALSE)&amp;"")</f>
        <v/>
      </c>
      <c r="E110" s="17" t="str">
        <f>IF(ISERROR(VLOOKUP($A110,通讯录!$A:$H,6,FALSE)&amp;""),"",VLOOKUP($A110,通讯录!$A:$H,6,FALSE)&amp;"")</f>
        <v/>
      </c>
      <c r="F110" s="17" t="str">
        <f>IF(ISERROR(VLOOKUP($A110,通讯录!$A:$H,4,FALSE)&amp;""),"",VLOOKUP($A110,通讯录!$A:$H,4,FALSE)&amp;"")</f>
        <v/>
      </c>
      <c r="G110" s="17" t="str">
        <f>IF(ISERROR(VLOOKUP($A110,通讯录!$A:$H,8,FALSE)&amp;""),"",VLOOKUP($A110,通讯录!$A:$H,8,FALSE)&amp;"")</f>
        <v/>
      </c>
      <c r="K110" s="26"/>
      <c r="L110" s="26" t="str">
        <f t="shared" si="5"/>
        <v/>
      </c>
      <c r="M110" s="26"/>
      <c r="N110" s="26"/>
      <c r="O110" s="26"/>
      <c r="P110" s="26"/>
      <c r="Q110" s="26"/>
      <c r="R110" s="26"/>
    </row>
    <row r="111" s="17" customFormat="1" spans="2:18">
      <c r="B111" s="17" t="str">
        <f>IF(ISERROR(VLOOKUP($A111,通讯录!$A:$H,3,FALSE)&amp;""),"",VLOOKUP($A111,通讯录!$A:$H,3,FALSE)&amp;"")</f>
        <v/>
      </c>
      <c r="C111" s="17" t="str">
        <f>IF(ISERROR(VLOOKUP($A111,通讯录!$A:$H,7,FALSE)&amp;""),"",VLOOKUP($A111,通讯录!$A:$H,7,FALSE)&amp;"")</f>
        <v/>
      </c>
      <c r="D111" s="17" t="str">
        <f>IF(ISERROR(VLOOKUP($A111,通讯录!$A:$H,5,FALSE)&amp;""),"",VLOOKUP($A111,通讯录!$A:$H,5,FALSE)&amp;"")</f>
        <v/>
      </c>
      <c r="E111" s="17" t="str">
        <f>IF(ISERROR(VLOOKUP($A111,通讯录!$A:$H,6,FALSE)&amp;""),"",VLOOKUP($A111,通讯录!$A:$H,6,FALSE)&amp;"")</f>
        <v/>
      </c>
      <c r="F111" s="17" t="str">
        <f>IF(ISERROR(VLOOKUP($A111,通讯录!$A:$H,4,FALSE)&amp;""),"",VLOOKUP($A111,通讯录!$A:$H,4,FALSE)&amp;"")</f>
        <v/>
      </c>
      <c r="G111" s="17" t="str">
        <f>IF(ISERROR(VLOOKUP($A111,通讯录!$A:$H,8,FALSE)&amp;""),"",VLOOKUP($A111,通讯录!$A:$H,8,FALSE)&amp;"")</f>
        <v/>
      </c>
      <c r="K111" s="26"/>
      <c r="L111" s="26" t="str">
        <f t="shared" si="5"/>
        <v/>
      </c>
      <c r="M111" s="26"/>
      <c r="N111" s="26"/>
      <c r="O111" s="26"/>
      <c r="P111" s="26"/>
      <c r="Q111" s="26"/>
      <c r="R111" s="26"/>
    </row>
    <row r="112" s="17" customFormat="1" spans="2:18">
      <c r="B112" s="17" t="str">
        <f>IF(ISERROR(VLOOKUP($A112,通讯录!$A:$H,3,FALSE)&amp;""),"",VLOOKUP($A112,通讯录!$A:$H,3,FALSE)&amp;"")</f>
        <v/>
      </c>
      <c r="C112" s="17" t="str">
        <f>IF(ISERROR(VLOOKUP($A112,通讯录!$A:$H,7,FALSE)&amp;""),"",VLOOKUP($A112,通讯录!$A:$H,7,FALSE)&amp;"")</f>
        <v/>
      </c>
      <c r="D112" s="17" t="str">
        <f>IF(ISERROR(VLOOKUP($A112,通讯录!$A:$H,5,FALSE)&amp;""),"",VLOOKUP($A112,通讯录!$A:$H,5,FALSE)&amp;"")</f>
        <v/>
      </c>
      <c r="E112" s="17" t="str">
        <f>IF(ISERROR(VLOOKUP($A112,通讯录!$A:$H,6,FALSE)&amp;""),"",VLOOKUP($A112,通讯录!$A:$H,6,FALSE)&amp;"")</f>
        <v/>
      </c>
      <c r="F112" s="17" t="str">
        <f>IF(ISERROR(VLOOKUP($A112,通讯录!$A:$H,4,FALSE)&amp;""),"",VLOOKUP($A112,通讯录!$A:$H,4,FALSE)&amp;"")</f>
        <v/>
      </c>
      <c r="G112" s="17" t="str">
        <f>IF(ISERROR(VLOOKUP($A112,通讯录!$A:$H,8,FALSE)&amp;""),"",VLOOKUP($A112,通讯录!$A:$H,8,FALSE)&amp;"")</f>
        <v/>
      </c>
      <c r="K112" s="26"/>
      <c r="L112" s="26" t="str">
        <f t="shared" si="5"/>
        <v/>
      </c>
      <c r="M112" s="26"/>
      <c r="N112" s="26"/>
      <c r="O112" s="26"/>
      <c r="P112" s="26"/>
      <c r="Q112" s="26"/>
      <c r="R112" s="26"/>
    </row>
    <row r="113" s="17" customFormat="1" spans="2:18">
      <c r="B113" s="17" t="str">
        <f>IF(ISERROR(VLOOKUP($A113,通讯录!$A:$H,3,FALSE)&amp;""),"",VLOOKUP($A113,通讯录!$A:$H,3,FALSE)&amp;"")</f>
        <v/>
      </c>
      <c r="C113" s="17" t="str">
        <f>IF(ISERROR(VLOOKUP($A113,通讯录!$A:$H,7,FALSE)&amp;""),"",VLOOKUP($A113,通讯录!$A:$H,7,FALSE)&amp;"")</f>
        <v/>
      </c>
      <c r="D113" s="17" t="str">
        <f>IF(ISERROR(VLOOKUP($A113,通讯录!$A:$H,5,FALSE)&amp;""),"",VLOOKUP($A113,通讯录!$A:$H,5,FALSE)&amp;"")</f>
        <v/>
      </c>
      <c r="E113" s="17" t="str">
        <f>IF(ISERROR(VLOOKUP($A113,通讯录!$A:$H,6,FALSE)&amp;""),"",VLOOKUP($A113,通讯录!$A:$H,6,FALSE)&amp;"")</f>
        <v/>
      </c>
      <c r="F113" s="17" t="str">
        <f>IF(ISERROR(VLOOKUP($A113,通讯录!$A:$H,4,FALSE)&amp;""),"",VLOOKUP($A113,通讯录!$A:$H,4,FALSE)&amp;"")</f>
        <v/>
      </c>
      <c r="G113" s="17" t="str">
        <f>IF(ISERROR(VLOOKUP($A113,通讯录!$A:$H,8,FALSE)&amp;""),"",VLOOKUP($A113,通讯录!$A:$H,8,FALSE)&amp;"")</f>
        <v/>
      </c>
      <c r="K113" s="26"/>
      <c r="L113" s="26" t="str">
        <f t="shared" si="5"/>
        <v/>
      </c>
      <c r="M113" s="26"/>
      <c r="N113" s="26"/>
      <c r="O113" s="26"/>
      <c r="P113" s="26"/>
      <c r="Q113" s="26"/>
      <c r="R113" s="26"/>
    </row>
    <row r="114" s="17" customFormat="1" spans="2:18">
      <c r="B114" s="17" t="str">
        <f>IF(ISERROR(VLOOKUP($A114,通讯录!$A:$H,3,FALSE)&amp;""),"",VLOOKUP($A114,通讯录!$A:$H,3,FALSE)&amp;"")</f>
        <v/>
      </c>
      <c r="C114" s="17" t="str">
        <f>IF(ISERROR(VLOOKUP($A114,通讯录!$A:$H,7,FALSE)&amp;""),"",VLOOKUP($A114,通讯录!$A:$H,7,FALSE)&amp;"")</f>
        <v/>
      </c>
      <c r="D114" s="17" t="str">
        <f>IF(ISERROR(VLOOKUP($A114,通讯录!$A:$H,5,FALSE)&amp;""),"",VLOOKUP($A114,通讯录!$A:$H,5,FALSE)&amp;"")</f>
        <v/>
      </c>
      <c r="E114" s="17" t="str">
        <f>IF(ISERROR(VLOOKUP($A114,通讯录!$A:$H,6,FALSE)&amp;""),"",VLOOKUP($A114,通讯录!$A:$H,6,FALSE)&amp;"")</f>
        <v/>
      </c>
      <c r="F114" s="17" t="str">
        <f>IF(ISERROR(VLOOKUP($A114,通讯录!$A:$H,4,FALSE)&amp;""),"",VLOOKUP($A114,通讯录!$A:$H,4,FALSE)&amp;"")</f>
        <v/>
      </c>
      <c r="G114" s="17" t="str">
        <f>IF(ISERROR(VLOOKUP($A114,通讯录!$A:$H,8,FALSE)&amp;""),"",VLOOKUP($A114,通讯录!$A:$H,8,FALSE)&amp;"")</f>
        <v/>
      </c>
      <c r="K114" s="26"/>
      <c r="L114" s="26" t="str">
        <f t="shared" si="5"/>
        <v/>
      </c>
      <c r="M114" s="26"/>
      <c r="N114" s="26"/>
      <c r="O114" s="26"/>
      <c r="P114" s="26"/>
      <c r="Q114" s="26"/>
      <c r="R114" s="26"/>
    </row>
    <row r="115" s="17" customFormat="1" spans="2:18">
      <c r="B115" s="17" t="str">
        <f>IF(ISERROR(VLOOKUP($A115,通讯录!$A:$H,3,FALSE)&amp;""),"",VLOOKUP($A115,通讯录!$A:$H,3,FALSE)&amp;"")</f>
        <v/>
      </c>
      <c r="C115" s="17" t="str">
        <f>IF(ISERROR(VLOOKUP($A115,通讯录!$A:$H,7,FALSE)&amp;""),"",VLOOKUP($A115,通讯录!$A:$H,7,FALSE)&amp;"")</f>
        <v/>
      </c>
      <c r="D115" s="17" t="str">
        <f>IF(ISERROR(VLOOKUP($A115,通讯录!$A:$H,5,FALSE)&amp;""),"",VLOOKUP($A115,通讯录!$A:$H,5,FALSE)&amp;"")</f>
        <v/>
      </c>
      <c r="E115" s="17" t="str">
        <f>IF(ISERROR(VLOOKUP($A115,通讯录!$A:$H,6,FALSE)&amp;""),"",VLOOKUP($A115,通讯录!$A:$H,6,FALSE)&amp;"")</f>
        <v/>
      </c>
      <c r="F115" s="17" t="str">
        <f>IF(ISERROR(VLOOKUP($A115,通讯录!$A:$H,4,FALSE)&amp;""),"",VLOOKUP($A115,通讯录!$A:$H,4,FALSE)&amp;"")</f>
        <v/>
      </c>
      <c r="G115" s="17" t="str">
        <f>IF(ISERROR(VLOOKUP($A115,通讯录!$A:$H,8,FALSE)&amp;""),"",VLOOKUP($A115,通讯录!$A:$H,8,FALSE)&amp;"")</f>
        <v/>
      </c>
      <c r="K115" s="26"/>
      <c r="L115" s="26" t="str">
        <f t="shared" si="5"/>
        <v/>
      </c>
      <c r="M115" s="26"/>
      <c r="N115" s="26"/>
      <c r="O115" s="26"/>
      <c r="P115" s="26"/>
      <c r="Q115" s="26"/>
      <c r="R115" s="26"/>
    </row>
    <row r="116" s="17" customFormat="1" spans="2:18">
      <c r="B116" s="17" t="str">
        <f>IF(ISERROR(VLOOKUP($A116,通讯录!$A:$H,3,FALSE)&amp;""),"",VLOOKUP($A116,通讯录!$A:$H,3,FALSE)&amp;"")</f>
        <v/>
      </c>
      <c r="C116" s="17" t="str">
        <f>IF(ISERROR(VLOOKUP($A116,通讯录!$A:$H,7,FALSE)&amp;""),"",VLOOKUP($A116,通讯录!$A:$H,7,FALSE)&amp;"")</f>
        <v/>
      </c>
      <c r="D116" s="17" t="str">
        <f>IF(ISERROR(VLOOKUP($A116,通讯录!$A:$H,5,FALSE)&amp;""),"",VLOOKUP($A116,通讯录!$A:$H,5,FALSE)&amp;"")</f>
        <v/>
      </c>
      <c r="E116" s="17" t="str">
        <f>IF(ISERROR(VLOOKUP($A116,通讯录!$A:$H,6,FALSE)&amp;""),"",VLOOKUP($A116,通讯录!$A:$H,6,FALSE)&amp;"")</f>
        <v/>
      </c>
      <c r="F116" s="17" t="str">
        <f>IF(ISERROR(VLOOKUP($A116,通讯录!$A:$H,4,FALSE)&amp;""),"",VLOOKUP($A116,通讯录!$A:$H,4,FALSE)&amp;"")</f>
        <v/>
      </c>
      <c r="G116" s="17" t="str">
        <f>IF(ISERROR(VLOOKUP($A116,通讯录!$A:$H,8,FALSE)&amp;""),"",VLOOKUP($A116,通讯录!$A:$H,8,FALSE)&amp;"")</f>
        <v/>
      </c>
      <c r="K116" s="26"/>
      <c r="L116" s="26" t="str">
        <f t="shared" si="5"/>
        <v/>
      </c>
      <c r="M116" s="26"/>
      <c r="N116" s="26"/>
      <c r="O116" s="26"/>
      <c r="P116" s="26"/>
      <c r="Q116" s="26"/>
      <c r="R116" s="26"/>
    </row>
    <row r="117" s="17" customFormat="1" spans="2:18">
      <c r="B117" s="17" t="str">
        <f>IF(ISERROR(VLOOKUP($A117,通讯录!$A:$H,3,FALSE)&amp;""),"",VLOOKUP($A117,通讯录!$A:$H,3,FALSE)&amp;"")</f>
        <v/>
      </c>
      <c r="C117" s="17" t="str">
        <f>IF(ISERROR(VLOOKUP($A117,通讯录!$A:$H,7,FALSE)&amp;""),"",VLOOKUP($A117,通讯录!$A:$H,7,FALSE)&amp;"")</f>
        <v/>
      </c>
      <c r="D117" s="17" t="str">
        <f>IF(ISERROR(VLOOKUP($A117,通讯录!$A:$H,5,FALSE)&amp;""),"",VLOOKUP($A117,通讯录!$A:$H,5,FALSE)&amp;"")</f>
        <v/>
      </c>
      <c r="E117" s="17" t="str">
        <f>IF(ISERROR(VLOOKUP($A117,通讯录!$A:$H,6,FALSE)&amp;""),"",VLOOKUP($A117,通讯录!$A:$H,6,FALSE)&amp;"")</f>
        <v/>
      </c>
      <c r="F117" s="17" t="str">
        <f>IF(ISERROR(VLOOKUP($A117,通讯录!$A:$H,4,FALSE)&amp;""),"",VLOOKUP($A117,通讯录!$A:$H,4,FALSE)&amp;"")</f>
        <v/>
      </c>
      <c r="G117" s="17" t="str">
        <f>IF(ISERROR(VLOOKUP($A117,通讯录!$A:$H,8,FALSE)&amp;""),"",VLOOKUP($A117,通讯录!$A:$H,8,FALSE)&amp;"")</f>
        <v/>
      </c>
      <c r="K117" s="26"/>
      <c r="L117" s="26" t="str">
        <f t="shared" si="5"/>
        <v/>
      </c>
      <c r="M117" s="26"/>
      <c r="N117" s="26"/>
      <c r="O117" s="26"/>
      <c r="P117" s="26"/>
      <c r="Q117" s="26"/>
      <c r="R117" s="26"/>
    </row>
    <row r="118" s="17" customFormat="1" spans="2:18">
      <c r="B118" s="17" t="str">
        <f>IF(ISERROR(VLOOKUP($A118,通讯录!$A:$H,3,FALSE)&amp;""),"",VLOOKUP($A118,通讯录!$A:$H,3,FALSE)&amp;"")</f>
        <v/>
      </c>
      <c r="C118" s="17" t="str">
        <f>IF(ISERROR(VLOOKUP($A118,通讯录!$A:$H,7,FALSE)&amp;""),"",VLOOKUP($A118,通讯录!$A:$H,7,FALSE)&amp;"")</f>
        <v/>
      </c>
      <c r="D118" s="17" t="str">
        <f>IF(ISERROR(VLOOKUP($A118,通讯录!$A:$H,5,FALSE)&amp;""),"",VLOOKUP($A118,通讯录!$A:$H,5,FALSE)&amp;"")</f>
        <v/>
      </c>
      <c r="E118" s="17" t="str">
        <f>IF(ISERROR(VLOOKUP($A118,通讯录!$A:$H,6,FALSE)&amp;""),"",VLOOKUP($A118,通讯录!$A:$H,6,FALSE)&amp;"")</f>
        <v/>
      </c>
      <c r="F118" s="17" t="str">
        <f>IF(ISERROR(VLOOKUP($A118,通讯录!$A:$H,4,FALSE)&amp;""),"",VLOOKUP($A118,通讯录!$A:$H,4,FALSE)&amp;"")</f>
        <v/>
      </c>
      <c r="G118" s="17" t="str">
        <f>IF(ISERROR(VLOOKUP($A118,通讯录!$A:$H,8,FALSE)&amp;""),"",VLOOKUP($A118,通讯录!$A:$H,8,FALSE)&amp;"")</f>
        <v/>
      </c>
      <c r="K118" s="26"/>
      <c r="L118" s="26" t="str">
        <f t="shared" si="5"/>
        <v/>
      </c>
      <c r="M118" s="26"/>
      <c r="N118" s="26"/>
      <c r="O118" s="26"/>
      <c r="P118" s="26"/>
      <c r="Q118" s="26"/>
      <c r="R118" s="26"/>
    </row>
    <row r="119" s="17" customFormat="1" spans="2:18">
      <c r="B119" s="17" t="str">
        <f>IF(ISERROR(VLOOKUP($A119,通讯录!$A:$H,3,FALSE)&amp;""),"",VLOOKUP($A119,通讯录!$A:$H,3,FALSE)&amp;"")</f>
        <v/>
      </c>
      <c r="C119" s="17" t="str">
        <f>IF(ISERROR(VLOOKUP($A119,通讯录!$A:$H,7,FALSE)&amp;""),"",VLOOKUP($A119,通讯录!$A:$H,7,FALSE)&amp;"")</f>
        <v/>
      </c>
      <c r="D119" s="17" t="str">
        <f>IF(ISERROR(VLOOKUP($A119,通讯录!$A:$H,5,FALSE)&amp;""),"",VLOOKUP($A119,通讯录!$A:$H,5,FALSE)&amp;"")</f>
        <v/>
      </c>
      <c r="E119" s="17" t="str">
        <f>IF(ISERROR(VLOOKUP($A119,通讯录!$A:$H,6,FALSE)&amp;""),"",VLOOKUP($A119,通讯录!$A:$H,6,FALSE)&amp;"")</f>
        <v/>
      </c>
      <c r="F119" s="17" t="str">
        <f>IF(ISERROR(VLOOKUP($A119,通讯录!$A:$H,4,FALSE)&amp;""),"",VLOOKUP($A119,通讯录!$A:$H,4,FALSE)&amp;"")</f>
        <v/>
      </c>
      <c r="G119" s="17" t="str">
        <f>IF(ISERROR(VLOOKUP($A119,通讯录!$A:$H,8,FALSE)&amp;""),"",VLOOKUP($A119,通讯录!$A:$H,8,FALSE)&amp;"")</f>
        <v/>
      </c>
      <c r="K119" s="26"/>
      <c r="L119" s="26" t="str">
        <f t="shared" si="5"/>
        <v/>
      </c>
      <c r="M119" s="26"/>
      <c r="N119" s="26"/>
      <c r="O119" s="26"/>
      <c r="P119" s="26"/>
      <c r="Q119" s="26"/>
      <c r="R119" s="26"/>
    </row>
    <row r="120" s="17" customFormat="1" spans="2:18">
      <c r="B120" s="17" t="str">
        <f>IF(ISERROR(VLOOKUP($A120,通讯录!$A:$H,3,FALSE)&amp;""),"",VLOOKUP($A120,通讯录!$A:$H,3,FALSE)&amp;"")</f>
        <v/>
      </c>
      <c r="C120" s="17" t="str">
        <f>IF(ISERROR(VLOOKUP($A120,通讯录!$A:$H,7,FALSE)&amp;""),"",VLOOKUP($A120,通讯录!$A:$H,7,FALSE)&amp;"")</f>
        <v/>
      </c>
      <c r="D120" s="17" t="str">
        <f>IF(ISERROR(VLOOKUP($A120,通讯录!$A:$H,5,FALSE)&amp;""),"",VLOOKUP($A120,通讯录!$A:$H,5,FALSE)&amp;"")</f>
        <v/>
      </c>
      <c r="E120" s="17" t="str">
        <f>IF(ISERROR(VLOOKUP($A120,通讯录!$A:$H,6,FALSE)&amp;""),"",VLOOKUP($A120,通讯录!$A:$H,6,FALSE)&amp;"")</f>
        <v/>
      </c>
      <c r="F120" s="17" t="str">
        <f>IF(ISERROR(VLOOKUP($A120,通讯录!$A:$H,4,FALSE)&amp;""),"",VLOOKUP($A120,通讯录!$A:$H,4,FALSE)&amp;"")</f>
        <v/>
      </c>
      <c r="G120" s="17" t="str">
        <f>IF(ISERROR(VLOOKUP($A120,通讯录!$A:$H,8,FALSE)&amp;""),"",VLOOKUP($A120,通讯录!$A:$H,8,FALSE)&amp;"")</f>
        <v/>
      </c>
      <c r="K120" s="26"/>
      <c r="L120" s="26" t="str">
        <f t="shared" si="5"/>
        <v/>
      </c>
      <c r="M120" s="26"/>
      <c r="N120" s="26"/>
      <c r="O120" s="26"/>
      <c r="P120" s="26"/>
      <c r="Q120" s="26"/>
      <c r="R120" s="26"/>
    </row>
    <row r="121" s="17" customFormat="1" spans="2:18">
      <c r="B121" s="17" t="str">
        <f>IF(ISERROR(VLOOKUP($A121,通讯录!$A:$H,3,FALSE)&amp;""),"",VLOOKUP($A121,通讯录!$A:$H,3,FALSE)&amp;"")</f>
        <v/>
      </c>
      <c r="C121" s="17" t="str">
        <f>IF(ISERROR(VLOOKUP($A121,通讯录!$A:$H,7,FALSE)&amp;""),"",VLOOKUP($A121,通讯录!$A:$H,7,FALSE)&amp;"")</f>
        <v/>
      </c>
      <c r="D121" s="17" t="str">
        <f>IF(ISERROR(VLOOKUP($A121,通讯录!$A:$H,5,FALSE)&amp;""),"",VLOOKUP($A121,通讯录!$A:$H,5,FALSE)&amp;"")</f>
        <v/>
      </c>
      <c r="E121" s="17" t="str">
        <f>IF(ISERROR(VLOOKUP($A121,通讯录!$A:$H,6,FALSE)&amp;""),"",VLOOKUP($A121,通讯录!$A:$H,6,FALSE)&amp;"")</f>
        <v/>
      </c>
      <c r="F121" s="17" t="str">
        <f>IF(ISERROR(VLOOKUP($A121,通讯录!$A:$H,4,FALSE)&amp;""),"",VLOOKUP($A121,通讯录!$A:$H,4,FALSE)&amp;"")</f>
        <v/>
      </c>
      <c r="G121" s="17" t="str">
        <f>IF(ISERROR(VLOOKUP($A121,通讯录!$A:$H,8,FALSE)&amp;""),"",VLOOKUP($A121,通讯录!$A:$H,8,FALSE)&amp;"")</f>
        <v/>
      </c>
      <c r="K121" s="26"/>
      <c r="L121" s="26" t="str">
        <f t="shared" si="5"/>
        <v/>
      </c>
      <c r="M121" s="26"/>
      <c r="N121" s="26"/>
      <c r="O121" s="26"/>
      <c r="P121" s="26"/>
      <c r="Q121" s="26"/>
      <c r="R121" s="26"/>
    </row>
    <row r="122" s="17" customFormat="1" spans="2:18">
      <c r="B122" s="17" t="str">
        <f>IF(ISERROR(VLOOKUP($A122,通讯录!$A:$H,3,FALSE)&amp;""),"",VLOOKUP($A122,通讯录!$A:$H,3,FALSE)&amp;"")</f>
        <v/>
      </c>
      <c r="C122" s="17" t="str">
        <f>IF(ISERROR(VLOOKUP($A122,通讯录!$A:$H,7,FALSE)&amp;""),"",VLOOKUP($A122,通讯录!$A:$H,7,FALSE)&amp;"")</f>
        <v/>
      </c>
      <c r="D122" s="17" t="str">
        <f>IF(ISERROR(VLOOKUP($A122,通讯录!$A:$H,5,FALSE)&amp;""),"",VLOOKUP($A122,通讯录!$A:$H,5,FALSE)&amp;"")</f>
        <v/>
      </c>
      <c r="E122" s="17" t="str">
        <f>IF(ISERROR(VLOOKUP($A122,通讯录!$A:$H,6,FALSE)&amp;""),"",VLOOKUP($A122,通讯录!$A:$H,6,FALSE)&amp;"")</f>
        <v/>
      </c>
      <c r="F122" s="17" t="str">
        <f>IF(ISERROR(VLOOKUP($A122,通讯录!$A:$H,4,FALSE)&amp;""),"",VLOOKUP($A122,通讯录!$A:$H,4,FALSE)&amp;"")</f>
        <v/>
      </c>
      <c r="G122" s="17" t="str">
        <f>IF(ISERROR(VLOOKUP($A122,通讯录!$A:$H,8,FALSE)&amp;""),"",VLOOKUP($A122,通讯录!$A:$H,8,FALSE)&amp;"")</f>
        <v/>
      </c>
      <c r="K122" s="26"/>
      <c r="L122" s="26" t="str">
        <f t="shared" si="5"/>
        <v/>
      </c>
      <c r="M122" s="26"/>
      <c r="N122" s="26"/>
      <c r="O122" s="26"/>
      <c r="P122" s="26"/>
      <c r="Q122" s="26"/>
      <c r="R122" s="26"/>
    </row>
    <row r="123" s="17" customFormat="1" spans="2:18">
      <c r="B123" s="17" t="str">
        <f>IF(ISERROR(VLOOKUP($A123,通讯录!$A:$H,3,FALSE)&amp;""),"",VLOOKUP($A123,通讯录!$A:$H,3,FALSE)&amp;"")</f>
        <v/>
      </c>
      <c r="C123" s="17" t="str">
        <f>IF(ISERROR(VLOOKUP($A123,通讯录!$A:$H,7,FALSE)&amp;""),"",VLOOKUP($A123,通讯录!$A:$H,7,FALSE)&amp;"")</f>
        <v/>
      </c>
      <c r="D123" s="17" t="str">
        <f>IF(ISERROR(VLOOKUP($A123,通讯录!$A:$H,5,FALSE)&amp;""),"",VLOOKUP($A123,通讯录!$A:$H,5,FALSE)&amp;"")</f>
        <v/>
      </c>
      <c r="E123" s="17" t="str">
        <f>IF(ISERROR(VLOOKUP($A123,通讯录!$A:$H,6,FALSE)&amp;""),"",VLOOKUP($A123,通讯录!$A:$H,6,FALSE)&amp;"")</f>
        <v/>
      </c>
      <c r="F123" s="17" t="str">
        <f>IF(ISERROR(VLOOKUP($A123,通讯录!$A:$H,4,FALSE)&amp;""),"",VLOOKUP($A123,通讯录!$A:$H,4,FALSE)&amp;"")</f>
        <v/>
      </c>
      <c r="G123" s="17" t="str">
        <f>IF(ISERROR(VLOOKUP($A123,通讯录!$A:$H,8,FALSE)&amp;""),"",VLOOKUP($A123,通讯录!$A:$H,8,FALSE)&amp;"")</f>
        <v/>
      </c>
      <c r="K123" s="26"/>
      <c r="L123" s="26" t="str">
        <f t="shared" si="5"/>
        <v/>
      </c>
      <c r="M123" s="26"/>
      <c r="N123" s="26"/>
      <c r="O123" s="26"/>
      <c r="P123" s="26"/>
      <c r="Q123" s="26"/>
      <c r="R123" s="26"/>
    </row>
    <row r="124" s="17" customFormat="1" spans="2:18">
      <c r="B124" s="17" t="str">
        <f>IF(ISERROR(VLOOKUP($A124,通讯录!$A:$H,3,FALSE)&amp;""),"",VLOOKUP($A124,通讯录!$A:$H,3,FALSE)&amp;"")</f>
        <v/>
      </c>
      <c r="C124" s="17" t="str">
        <f>IF(ISERROR(VLOOKUP($A124,通讯录!$A:$H,7,FALSE)&amp;""),"",VLOOKUP($A124,通讯录!$A:$H,7,FALSE)&amp;"")</f>
        <v/>
      </c>
      <c r="D124" s="17" t="str">
        <f>IF(ISERROR(VLOOKUP($A124,通讯录!$A:$H,5,FALSE)&amp;""),"",VLOOKUP($A124,通讯录!$A:$H,5,FALSE)&amp;"")</f>
        <v/>
      </c>
      <c r="E124" s="17" t="str">
        <f>IF(ISERROR(VLOOKUP($A124,通讯录!$A:$H,6,FALSE)&amp;""),"",VLOOKUP($A124,通讯录!$A:$H,6,FALSE)&amp;"")</f>
        <v/>
      </c>
      <c r="F124" s="17" t="str">
        <f>IF(ISERROR(VLOOKUP($A124,通讯录!$A:$H,4,FALSE)&amp;""),"",VLOOKUP($A124,通讯录!$A:$H,4,FALSE)&amp;"")</f>
        <v/>
      </c>
      <c r="G124" s="17" t="str">
        <f>IF(ISERROR(VLOOKUP($A124,通讯录!$A:$H,8,FALSE)&amp;""),"",VLOOKUP($A124,通讯录!$A:$H,8,FALSE)&amp;"")</f>
        <v/>
      </c>
      <c r="K124" s="26"/>
      <c r="L124" s="26" t="str">
        <f t="shared" si="5"/>
        <v/>
      </c>
      <c r="M124" s="26"/>
      <c r="N124" s="26"/>
      <c r="O124" s="26"/>
      <c r="P124" s="26"/>
      <c r="Q124" s="26"/>
      <c r="R124" s="26"/>
    </row>
    <row r="125" s="17" customFormat="1" spans="2:18">
      <c r="B125" s="17" t="str">
        <f>IF(ISERROR(VLOOKUP($A125,通讯录!$A:$H,3,FALSE)&amp;""),"",VLOOKUP($A125,通讯录!$A:$H,3,FALSE)&amp;"")</f>
        <v/>
      </c>
      <c r="C125" s="17" t="str">
        <f>IF(ISERROR(VLOOKUP($A125,通讯录!$A:$H,7,FALSE)&amp;""),"",VLOOKUP($A125,通讯录!$A:$H,7,FALSE)&amp;"")</f>
        <v/>
      </c>
      <c r="D125" s="17" t="str">
        <f>IF(ISERROR(VLOOKUP($A125,通讯录!$A:$H,5,FALSE)&amp;""),"",VLOOKUP($A125,通讯录!$A:$H,5,FALSE)&amp;"")</f>
        <v/>
      </c>
      <c r="E125" s="17" t="str">
        <f>IF(ISERROR(VLOOKUP($A125,通讯录!$A:$H,6,FALSE)&amp;""),"",VLOOKUP($A125,通讯录!$A:$H,6,FALSE)&amp;"")</f>
        <v/>
      </c>
      <c r="F125" s="17" t="str">
        <f>IF(ISERROR(VLOOKUP($A125,通讯录!$A:$H,4,FALSE)&amp;""),"",VLOOKUP($A125,通讯录!$A:$H,4,FALSE)&amp;"")</f>
        <v/>
      </c>
      <c r="G125" s="17" t="str">
        <f>IF(ISERROR(VLOOKUP($A125,通讯录!$A:$H,8,FALSE)&amp;""),"",VLOOKUP($A125,通讯录!$A:$H,8,FALSE)&amp;"")</f>
        <v/>
      </c>
      <c r="K125" s="26"/>
      <c r="L125" s="26" t="str">
        <f t="shared" si="5"/>
        <v/>
      </c>
      <c r="M125" s="26"/>
      <c r="N125" s="26"/>
      <c r="O125" s="26"/>
      <c r="P125" s="26"/>
      <c r="Q125" s="26"/>
      <c r="R125" s="26"/>
    </row>
    <row r="126" s="17" customFormat="1" spans="2:18">
      <c r="B126" s="17" t="str">
        <f>IF(ISERROR(VLOOKUP($A126,通讯录!$A:$H,3,FALSE)&amp;""),"",VLOOKUP($A126,通讯录!$A:$H,3,FALSE)&amp;"")</f>
        <v/>
      </c>
      <c r="C126" s="17" t="str">
        <f>IF(ISERROR(VLOOKUP($A126,通讯录!$A:$H,7,FALSE)&amp;""),"",VLOOKUP($A126,通讯录!$A:$H,7,FALSE)&amp;"")</f>
        <v/>
      </c>
      <c r="D126" s="17" t="str">
        <f>IF(ISERROR(VLOOKUP($A126,通讯录!$A:$H,5,FALSE)&amp;""),"",VLOOKUP($A126,通讯录!$A:$H,5,FALSE)&amp;"")</f>
        <v/>
      </c>
      <c r="E126" s="17" t="str">
        <f>IF(ISERROR(VLOOKUP($A126,通讯录!$A:$H,6,FALSE)&amp;""),"",VLOOKUP($A126,通讯录!$A:$H,6,FALSE)&amp;"")</f>
        <v/>
      </c>
      <c r="F126" s="17" t="str">
        <f>IF(ISERROR(VLOOKUP($A126,通讯录!$A:$H,4,FALSE)&amp;""),"",VLOOKUP($A126,通讯录!$A:$H,4,FALSE)&amp;"")</f>
        <v/>
      </c>
      <c r="G126" s="17" t="str">
        <f>IF(ISERROR(VLOOKUP($A126,通讯录!$A:$H,8,FALSE)&amp;""),"",VLOOKUP($A126,通讯录!$A:$H,8,FALSE)&amp;"")</f>
        <v/>
      </c>
      <c r="K126" s="26"/>
      <c r="L126" s="26" t="str">
        <f t="shared" si="5"/>
        <v/>
      </c>
      <c r="M126" s="26"/>
      <c r="N126" s="26"/>
      <c r="O126" s="26"/>
      <c r="P126" s="26"/>
      <c r="Q126" s="26"/>
      <c r="R126" s="26"/>
    </row>
    <row r="127" s="17" customFormat="1" spans="2:18">
      <c r="B127" s="17" t="str">
        <f>IF(ISERROR(VLOOKUP($A127,通讯录!$A:$H,3,FALSE)&amp;""),"",VLOOKUP($A127,通讯录!$A:$H,3,FALSE)&amp;"")</f>
        <v/>
      </c>
      <c r="C127" s="17" t="str">
        <f>IF(ISERROR(VLOOKUP($A127,通讯录!$A:$H,7,FALSE)&amp;""),"",VLOOKUP($A127,通讯录!$A:$H,7,FALSE)&amp;"")</f>
        <v/>
      </c>
      <c r="D127" s="17" t="str">
        <f>IF(ISERROR(VLOOKUP($A127,通讯录!$A:$H,5,FALSE)&amp;""),"",VLOOKUP($A127,通讯录!$A:$H,5,FALSE)&amp;"")</f>
        <v/>
      </c>
      <c r="E127" s="17" t="str">
        <f>IF(ISERROR(VLOOKUP($A127,通讯录!$A:$H,6,FALSE)&amp;""),"",VLOOKUP($A127,通讯录!$A:$H,6,FALSE)&amp;"")</f>
        <v/>
      </c>
      <c r="F127" s="17" t="str">
        <f>IF(ISERROR(VLOOKUP($A127,通讯录!$A:$H,4,FALSE)&amp;""),"",VLOOKUP($A127,通讯录!$A:$H,4,FALSE)&amp;"")</f>
        <v/>
      </c>
      <c r="G127" s="17" t="str">
        <f>IF(ISERROR(VLOOKUP($A127,通讯录!$A:$H,8,FALSE)&amp;""),"",VLOOKUP($A127,通讯录!$A:$H,8,FALSE)&amp;"")</f>
        <v/>
      </c>
      <c r="K127" s="26"/>
      <c r="L127" s="26" t="str">
        <f t="shared" si="5"/>
        <v/>
      </c>
      <c r="M127" s="26"/>
      <c r="N127" s="26"/>
      <c r="O127" s="26"/>
      <c r="P127" s="26"/>
      <c r="Q127" s="26"/>
      <c r="R127" s="26"/>
    </row>
    <row r="128" s="17" customFormat="1" spans="2:18">
      <c r="B128" s="17" t="str">
        <f>IF(ISERROR(VLOOKUP($A128,通讯录!$A:$H,3,FALSE)&amp;""),"",VLOOKUP($A128,通讯录!$A:$H,3,FALSE)&amp;"")</f>
        <v/>
      </c>
      <c r="C128" s="17" t="str">
        <f>IF(ISERROR(VLOOKUP($A128,通讯录!$A:$H,7,FALSE)&amp;""),"",VLOOKUP($A128,通讯录!$A:$H,7,FALSE)&amp;"")</f>
        <v/>
      </c>
      <c r="D128" s="17" t="str">
        <f>IF(ISERROR(VLOOKUP($A128,通讯录!$A:$H,5,FALSE)&amp;""),"",VLOOKUP($A128,通讯录!$A:$H,5,FALSE)&amp;"")</f>
        <v/>
      </c>
      <c r="E128" s="17" t="str">
        <f>IF(ISERROR(VLOOKUP($A128,通讯录!$A:$H,6,FALSE)&amp;""),"",VLOOKUP($A128,通讯录!$A:$H,6,FALSE)&amp;"")</f>
        <v/>
      </c>
      <c r="F128" s="17" t="str">
        <f>IF(ISERROR(VLOOKUP($A128,通讯录!$A:$H,4,FALSE)&amp;""),"",VLOOKUP($A128,通讯录!$A:$H,4,FALSE)&amp;"")</f>
        <v/>
      </c>
      <c r="G128" s="17" t="str">
        <f>IF(ISERROR(VLOOKUP($A128,通讯录!$A:$H,8,FALSE)&amp;""),"",VLOOKUP($A128,通讯录!$A:$H,8,FALSE)&amp;"")</f>
        <v/>
      </c>
      <c r="K128" s="26"/>
      <c r="L128" s="26" t="str">
        <f t="shared" si="5"/>
        <v/>
      </c>
      <c r="M128" s="26"/>
      <c r="N128" s="26"/>
      <c r="O128" s="26"/>
      <c r="P128" s="26"/>
      <c r="Q128" s="26"/>
      <c r="R128" s="26"/>
    </row>
    <row r="129" s="17" customFormat="1" spans="2:18">
      <c r="B129" s="17" t="str">
        <f>IF(ISERROR(VLOOKUP($A129,通讯录!$A:$H,3,FALSE)&amp;""),"",VLOOKUP($A129,通讯录!$A:$H,3,FALSE)&amp;"")</f>
        <v/>
      </c>
      <c r="C129" s="17" t="str">
        <f>IF(ISERROR(VLOOKUP($A129,通讯录!$A:$H,7,FALSE)&amp;""),"",VLOOKUP($A129,通讯录!$A:$H,7,FALSE)&amp;"")</f>
        <v/>
      </c>
      <c r="D129" s="17" t="str">
        <f>IF(ISERROR(VLOOKUP($A129,通讯录!$A:$H,5,FALSE)&amp;""),"",VLOOKUP($A129,通讯录!$A:$H,5,FALSE)&amp;"")</f>
        <v/>
      </c>
      <c r="E129" s="17" t="str">
        <f>IF(ISERROR(VLOOKUP($A129,通讯录!$A:$H,6,FALSE)&amp;""),"",VLOOKUP($A129,通讯录!$A:$H,6,FALSE)&amp;"")</f>
        <v/>
      </c>
      <c r="F129" s="17" t="str">
        <f>IF(ISERROR(VLOOKUP($A129,通讯录!$A:$H,4,FALSE)&amp;""),"",VLOOKUP($A129,通讯录!$A:$H,4,FALSE)&amp;"")</f>
        <v/>
      </c>
      <c r="G129" s="17" t="str">
        <f>IF(ISERROR(VLOOKUP($A129,通讯录!$A:$H,8,FALSE)&amp;""),"",VLOOKUP($A129,通讯录!$A:$H,8,FALSE)&amp;"")</f>
        <v/>
      </c>
      <c r="K129" s="26"/>
      <c r="L129" s="26" t="str">
        <f t="shared" si="5"/>
        <v/>
      </c>
      <c r="M129" s="26"/>
      <c r="N129" s="26"/>
      <c r="O129" s="26"/>
      <c r="P129" s="26"/>
      <c r="Q129" s="26"/>
      <c r="R129" s="26"/>
    </row>
    <row r="130" s="17" customFormat="1" spans="2:18">
      <c r="B130" s="17" t="str">
        <f>IF(ISERROR(VLOOKUP($A130,通讯录!$A:$H,3,FALSE)&amp;""),"",VLOOKUP($A130,通讯录!$A:$H,3,FALSE)&amp;"")</f>
        <v/>
      </c>
      <c r="C130" s="17" t="str">
        <f>IF(ISERROR(VLOOKUP($A130,通讯录!$A:$H,7,FALSE)&amp;""),"",VLOOKUP($A130,通讯录!$A:$H,7,FALSE)&amp;"")</f>
        <v/>
      </c>
      <c r="D130" s="17" t="str">
        <f>IF(ISERROR(VLOOKUP($A130,通讯录!$A:$H,5,FALSE)&amp;""),"",VLOOKUP($A130,通讯录!$A:$H,5,FALSE)&amp;"")</f>
        <v/>
      </c>
      <c r="E130" s="17" t="str">
        <f>IF(ISERROR(VLOOKUP($A130,通讯录!$A:$H,6,FALSE)&amp;""),"",VLOOKUP($A130,通讯录!$A:$H,6,FALSE)&amp;"")</f>
        <v/>
      </c>
      <c r="F130" s="17" t="str">
        <f>IF(ISERROR(VLOOKUP($A130,通讯录!$A:$H,4,FALSE)&amp;""),"",VLOOKUP($A130,通讯录!$A:$H,4,FALSE)&amp;"")</f>
        <v/>
      </c>
      <c r="G130" s="17" t="str">
        <f>IF(ISERROR(VLOOKUP($A130,通讯录!$A:$H,8,FALSE)&amp;""),"",VLOOKUP($A130,通讯录!$A:$H,8,FALSE)&amp;"")</f>
        <v/>
      </c>
      <c r="K130" s="26"/>
      <c r="L130" s="26" t="str">
        <f t="shared" si="5"/>
        <v/>
      </c>
      <c r="M130" s="26"/>
      <c r="N130" s="26"/>
      <c r="O130" s="26"/>
      <c r="P130" s="26"/>
      <c r="Q130" s="26"/>
      <c r="R130" s="26"/>
    </row>
    <row r="131" s="17" customFormat="1" spans="2:18">
      <c r="B131" s="17" t="str">
        <f>IF(ISERROR(VLOOKUP($A131,通讯录!$A:$H,3,FALSE)&amp;""),"",VLOOKUP($A131,通讯录!$A:$H,3,FALSE)&amp;"")</f>
        <v/>
      </c>
      <c r="C131" s="17" t="str">
        <f>IF(ISERROR(VLOOKUP($A131,通讯录!$A:$H,7,FALSE)&amp;""),"",VLOOKUP($A131,通讯录!$A:$H,7,FALSE)&amp;"")</f>
        <v/>
      </c>
      <c r="D131" s="17" t="str">
        <f>IF(ISERROR(VLOOKUP($A131,通讯录!$A:$H,5,FALSE)&amp;""),"",VLOOKUP($A131,通讯录!$A:$H,5,FALSE)&amp;"")</f>
        <v/>
      </c>
      <c r="E131" s="17" t="str">
        <f>IF(ISERROR(VLOOKUP($A131,通讯录!$A:$H,6,FALSE)&amp;""),"",VLOOKUP($A131,通讯录!$A:$H,6,FALSE)&amp;"")</f>
        <v/>
      </c>
      <c r="F131" s="17" t="str">
        <f>IF(ISERROR(VLOOKUP($A131,通讯录!$A:$H,4,FALSE)&amp;""),"",VLOOKUP($A131,通讯录!$A:$H,4,FALSE)&amp;"")</f>
        <v/>
      </c>
      <c r="G131" s="17" t="str">
        <f>IF(ISERROR(VLOOKUP($A131,通讯录!$A:$H,8,FALSE)&amp;""),"",VLOOKUP($A131,通讯录!$A:$H,8,FALSE)&amp;"")</f>
        <v/>
      </c>
      <c r="K131" s="26"/>
      <c r="L131" s="26" t="str">
        <f t="shared" si="5"/>
        <v/>
      </c>
      <c r="M131" s="26"/>
      <c r="N131" s="26"/>
      <c r="O131" s="26"/>
      <c r="P131" s="26"/>
      <c r="Q131" s="26"/>
      <c r="R131" s="26"/>
    </row>
    <row r="132" s="17" customFormat="1" spans="2:18">
      <c r="B132" s="17" t="str">
        <f>IF(ISERROR(VLOOKUP($A132,通讯录!$A:$H,3,FALSE)&amp;""),"",VLOOKUP($A132,通讯录!$A:$H,3,FALSE)&amp;"")</f>
        <v/>
      </c>
      <c r="C132" s="17" t="str">
        <f>IF(ISERROR(VLOOKUP($A132,通讯录!$A:$H,7,FALSE)&amp;""),"",VLOOKUP($A132,通讯录!$A:$H,7,FALSE)&amp;"")</f>
        <v/>
      </c>
      <c r="D132" s="17" t="str">
        <f>IF(ISERROR(VLOOKUP($A132,通讯录!$A:$H,5,FALSE)&amp;""),"",VLOOKUP($A132,通讯录!$A:$H,5,FALSE)&amp;"")</f>
        <v/>
      </c>
      <c r="E132" s="17" t="str">
        <f>IF(ISERROR(VLOOKUP($A132,通讯录!$A:$H,6,FALSE)&amp;""),"",VLOOKUP($A132,通讯录!$A:$H,6,FALSE)&amp;"")</f>
        <v/>
      </c>
      <c r="F132" s="17" t="str">
        <f>IF(ISERROR(VLOOKUP($A132,通讯录!$A:$H,4,FALSE)&amp;""),"",VLOOKUP($A132,通讯录!$A:$H,4,FALSE)&amp;"")</f>
        <v/>
      </c>
      <c r="G132" s="17" t="str">
        <f>IF(ISERROR(VLOOKUP($A132,通讯录!$A:$H,8,FALSE)&amp;""),"",VLOOKUP($A132,通讯录!$A:$H,8,FALSE)&amp;"")</f>
        <v/>
      </c>
      <c r="K132" s="26"/>
      <c r="L132" s="26" t="str">
        <f t="shared" si="5"/>
        <v/>
      </c>
      <c r="M132" s="26"/>
      <c r="N132" s="26"/>
      <c r="O132" s="26"/>
      <c r="P132" s="26"/>
      <c r="Q132" s="26"/>
      <c r="R132" s="26"/>
    </row>
    <row r="133" s="17" customFormat="1" spans="2:18">
      <c r="B133" s="17" t="str">
        <f>IF(ISERROR(VLOOKUP($A133,通讯录!$A:$H,3,FALSE)&amp;""),"",VLOOKUP($A133,通讯录!$A:$H,3,FALSE)&amp;"")</f>
        <v/>
      </c>
      <c r="C133" s="17" t="str">
        <f>IF(ISERROR(VLOOKUP($A133,通讯录!$A:$H,7,FALSE)&amp;""),"",VLOOKUP($A133,通讯录!$A:$H,7,FALSE)&amp;"")</f>
        <v/>
      </c>
      <c r="D133" s="17" t="str">
        <f>IF(ISERROR(VLOOKUP($A133,通讯录!$A:$H,5,FALSE)&amp;""),"",VLOOKUP($A133,通讯录!$A:$H,5,FALSE)&amp;"")</f>
        <v/>
      </c>
      <c r="E133" s="17" t="str">
        <f>IF(ISERROR(VLOOKUP($A133,通讯录!$A:$H,6,FALSE)&amp;""),"",VLOOKUP($A133,通讯录!$A:$H,6,FALSE)&amp;"")</f>
        <v/>
      </c>
      <c r="F133" s="17" t="str">
        <f>IF(ISERROR(VLOOKUP($A133,通讯录!$A:$H,4,FALSE)&amp;""),"",VLOOKUP($A133,通讯录!$A:$H,4,FALSE)&amp;"")</f>
        <v/>
      </c>
      <c r="G133" s="17" t="str">
        <f>IF(ISERROR(VLOOKUP($A133,通讯录!$A:$H,8,FALSE)&amp;""),"",VLOOKUP($A133,通讯录!$A:$H,8,FALSE)&amp;"")</f>
        <v/>
      </c>
      <c r="K133" s="26"/>
      <c r="L133" s="26" t="str">
        <f t="shared" si="5"/>
        <v/>
      </c>
      <c r="M133" s="26"/>
      <c r="N133" s="26"/>
      <c r="O133" s="26"/>
      <c r="P133" s="26"/>
      <c r="Q133" s="26"/>
      <c r="R133" s="26"/>
    </row>
    <row r="134" s="17" customFormat="1" spans="2:18">
      <c r="B134" s="17" t="str">
        <f>IF(ISERROR(VLOOKUP($A134,通讯录!$A:$H,3,FALSE)&amp;""),"",VLOOKUP($A134,通讯录!$A:$H,3,FALSE)&amp;"")</f>
        <v/>
      </c>
      <c r="C134" s="17" t="str">
        <f>IF(ISERROR(VLOOKUP($A134,通讯录!$A:$H,7,FALSE)&amp;""),"",VLOOKUP($A134,通讯录!$A:$H,7,FALSE)&amp;"")</f>
        <v/>
      </c>
      <c r="D134" s="17" t="str">
        <f>IF(ISERROR(VLOOKUP($A134,通讯录!$A:$H,5,FALSE)&amp;""),"",VLOOKUP($A134,通讯录!$A:$H,5,FALSE)&amp;"")</f>
        <v/>
      </c>
      <c r="E134" s="17" t="str">
        <f>IF(ISERROR(VLOOKUP($A134,通讯录!$A:$H,6,FALSE)&amp;""),"",VLOOKUP($A134,通讯录!$A:$H,6,FALSE)&amp;"")</f>
        <v/>
      </c>
      <c r="F134" s="17" t="str">
        <f>IF(ISERROR(VLOOKUP($A134,通讯录!$A:$H,4,FALSE)&amp;""),"",VLOOKUP($A134,通讯录!$A:$H,4,FALSE)&amp;"")</f>
        <v/>
      </c>
      <c r="G134" s="17" t="str">
        <f>IF(ISERROR(VLOOKUP($A134,通讯录!$A:$H,8,FALSE)&amp;""),"",VLOOKUP($A134,通讯录!$A:$H,8,FALSE)&amp;"")</f>
        <v/>
      </c>
      <c r="K134" s="26"/>
      <c r="L134" s="26" t="str">
        <f t="shared" si="5"/>
        <v/>
      </c>
      <c r="M134" s="26"/>
      <c r="N134" s="26"/>
      <c r="O134" s="26"/>
      <c r="P134" s="26"/>
      <c r="Q134" s="26"/>
      <c r="R134" s="26"/>
    </row>
    <row r="135" s="17" customFormat="1" spans="2:18">
      <c r="B135" s="17" t="str">
        <f>IF(ISERROR(VLOOKUP($A135,通讯录!$A:$H,3,FALSE)&amp;""),"",VLOOKUP($A135,通讯录!$A:$H,3,FALSE)&amp;"")</f>
        <v/>
      </c>
      <c r="C135" s="17" t="str">
        <f>IF(ISERROR(VLOOKUP($A135,通讯录!$A:$H,7,FALSE)&amp;""),"",VLOOKUP($A135,通讯录!$A:$H,7,FALSE)&amp;"")</f>
        <v/>
      </c>
      <c r="D135" s="17" t="str">
        <f>IF(ISERROR(VLOOKUP($A135,通讯录!$A:$H,5,FALSE)&amp;""),"",VLOOKUP($A135,通讯录!$A:$H,5,FALSE)&amp;"")</f>
        <v/>
      </c>
      <c r="E135" s="17" t="str">
        <f>IF(ISERROR(VLOOKUP($A135,通讯录!$A:$H,6,FALSE)&amp;""),"",VLOOKUP($A135,通讯录!$A:$H,6,FALSE)&amp;"")</f>
        <v/>
      </c>
      <c r="F135" s="17" t="str">
        <f>IF(ISERROR(VLOOKUP($A135,通讯录!$A:$H,4,FALSE)&amp;""),"",VLOOKUP($A135,通讯录!$A:$H,4,FALSE)&amp;"")</f>
        <v/>
      </c>
      <c r="G135" s="17" t="str">
        <f>IF(ISERROR(VLOOKUP($A135,通讯录!$A:$H,8,FALSE)&amp;""),"",VLOOKUP($A135,通讯录!$A:$H,8,FALSE)&amp;"")</f>
        <v/>
      </c>
      <c r="K135" s="26"/>
      <c r="L135" s="26" t="str">
        <f t="shared" si="5"/>
        <v/>
      </c>
      <c r="M135" s="26"/>
      <c r="N135" s="26"/>
      <c r="O135" s="26"/>
      <c r="P135" s="26"/>
      <c r="Q135" s="26"/>
      <c r="R135" s="26"/>
    </row>
    <row r="136" s="17" customFormat="1" spans="2:18">
      <c r="B136" s="17" t="str">
        <f>IF(ISERROR(VLOOKUP($A136,通讯录!$A:$H,3,FALSE)&amp;""),"",VLOOKUP($A136,通讯录!$A:$H,3,FALSE)&amp;"")</f>
        <v/>
      </c>
      <c r="C136" s="17" t="str">
        <f>IF(ISERROR(VLOOKUP($A136,通讯录!$A:$H,7,FALSE)&amp;""),"",VLOOKUP($A136,通讯录!$A:$H,7,FALSE)&amp;"")</f>
        <v/>
      </c>
      <c r="D136" s="17" t="str">
        <f>IF(ISERROR(VLOOKUP($A136,通讯录!$A:$H,5,FALSE)&amp;""),"",VLOOKUP($A136,通讯录!$A:$H,5,FALSE)&amp;"")</f>
        <v/>
      </c>
      <c r="E136" s="17" t="str">
        <f>IF(ISERROR(VLOOKUP($A136,通讯录!$A:$H,6,FALSE)&amp;""),"",VLOOKUP($A136,通讯录!$A:$H,6,FALSE)&amp;"")</f>
        <v/>
      </c>
      <c r="F136" s="17" t="str">
        <f>IF(ISERROR(VLOOKUP($A136,通讯录!$A:$H,4,FALSE)&amp;""),"",VLOOKUP($A136,通讯录!$A:$H,4,FALSE)&amp;"")</f>
        <v/>
      </c>
      <c r="G136" s="17" t="str">
        <f>IF(ISERROR(VLOOKUP($A136,通讯录!$A:$H,8,FALSE)&amp;""),"",VLOOKUP($A136,通讯录!$A:$H,8,FALSE)&amp;"")</f>
        <v/>
      </c>
      <c r="K136" s="26"/>
      <c r="L136" s="26" t="str">
        <f t="shared" si="5"/>
        <v/>
      </c>
      <c r="M136" s="26"/>
      <c r="N136" s="26"/>
      <c r="O136" s="26"/>
      <c r="P136" s="26"/>
      <c r="Q136" s="26"/>
      <c r="R136" s="26"/>
    </row>
    <row r="137" s="17" customFormat="1" spans="2:18">
      <c r="B137" s="17" t="str">
        <f>IF(ISERROR(VLOOKUP($A137,通讯录!$A:$H,3,FALSE)&amp;""),"",VLOOKUP($A137,通讯录!$A:$H,3,FALSE)&amp;"")</f>
        <v/>
      </c>
      <c r="C137" s="17" t="str">
        <f>IF(ISERROR(VLOOKUP($A137,通讯录!$A:$H,7,FALSE)&amp;""),"",VLOOKUP($A137,通讯录!$A:$H,7,FALSE)&amp;"")</f>
        <v/>
      </c>
      <c r="D137" s="17" t="str">
        <f>IF(ISERROR(VLOOKUP($A137,通讯录!$A:$H,5,FALSE)&amp;""),"",VLOOKUP($A137,通讯录!$A:$H,5,FALSE)&amp;"")</f>
        <v/>
      </c>
      <c r="E137" s="17" t="str">
        <f>IF(ISERROR(VLOOKUP($A137,通讯录!$A:$H,6,FALSE)&amp;""),"",VLOOKUP($A137,通讯录!$A:$H,6,FALSE)&amp;"")</f>
        <v/>
      </c>
      <c r="F137" s="17" t="str">
        <f>IF(ISERROR(VLOOKUP($A137,通讯录!$A:$H,4,FALSE)&amp;""),"",VLOOKUP($A137,通讯录!$A:$H,4,FALSE)&amp;"")</f>
        <v/>
      </c>
      <c r="G137" s="17" t="str">
        <f>IF(ISERROR(VLOOKUP($A137,通讯录!$A:$H,8,FALSE)&amp;""),"",VLOOKUP($A137,通讯录!$A:$H,8,FALSE)&amp;"")</f>
        <v/>
      </c>
      <c r="K137" s="26"/>
      <c r="L137" s="26" t="str">
        <f t="shared" si="5"/>
        <v/>
      </c>
      <c r="M137" s="26"/>
      <c r="N137" s="26"/>
      <c r="O137" s="26"/>
      <c r="P137" s="26"/>
      <c r="Q137" s="26"/>
      <c r="R137" s="26"/>
    </row>
    <row r="138" s="17" customFormat="1" spans="2:18">
      <c r="B138" s="17" t="str">
        <f>IF(ISERROR(VLOOKUP($A138,通讯录!$A:$H,3,FALSE)&amp;""),"",VLOOKUP($A138,通讯录!$A:$H,3,FALSE)&amp;"")</f>
        <v/>
      </c>
      <c r="C138" s="17" t="str">
        <f>IF(ISERROR(VLOOKUP($A138,通讯录!$A:$H,7,FALSE)&amp;""),"",VLOOKUP($A138,通讯录!$A:$H,7,FALSE)&amp;"")</f>
        <v/>
      </c>
      <c r="D138" s="17" t="str">
        <f>IF(ISERROR(VLOOKUP($A138,通讯录!$A:$H,5,FALSE)&amp;""),"",VLOOKUP($A138,通讯录!$A:$H,5,FALSE)&amp;"")</f>
        <v/>
      </c>
      <c r="E138" s="17" t="str">
        <f>IF(ISERROR(VLOOKUP($A138,通讯录!$A:$H,6,FALSE)&amp;""),"",VLOOKUP($A138,通讯录!$A:$H,6,FALSE)&amp;"")</f>
        <v/>
      </c>
      <c r="F138" s="17" t="str">
        <f>IF(ISERROR(VLOOKUP($A138,通讯录!$A:$H,4,FALSE)&amp;""),"",VLOOKUP($A138,通讯录!$A:$H,4,FALSE)&amp;"")</f>
        <v/>
      </c>
      <c r="G138" s="17" t="str">
        <f>IF(ISERROR(VLOOKUP($A138,通讯录!$A:$H,8,FALSE)&amp;""),"",VLOOKUP($A138,通讯录!$A:$H,8,FALSE)&amp;"")</f>
        <v/>
      </c>
      <c r="K138" s="26"/>
      <c r="L138" s="26" t="str">
        <f t="shared" si="5"/>
        <v/>
      </c>
      <c r="M138" s="26"/>
      <c r="N138" s="26"/>
      <c r="O138" s="26"/>
      <c r="P138" s="26"/>
      <c r="Q138" s="26"/>
      <c r="R138" s="26"/>
    </row>
    <row r="139" s="17" customFormat="1" spans="2:18">
      <c r="B139" s="17" t="str">
        <f>IF(ISERROR(VLOOKUP($A139,通讯录!$A:$H,3,FALSE)&amp;""),"",VLOOKUP($A139,通讯录!$A:$H,3,FALSE)&amp;"")</f>
        <v/>
      </c>
      <c r="C139" s="17" t="str">
        <f>IF(ISERROR(VLOOKUP($A139,通讯录!$A:$H,7,FALSE)&amp;""),"",VLOOKUP($A139,通讯录!$A:$H,7,FALSE)&amp;"")</f>
        <v/>
      </c>
      <c r="D139" s="17" t="str">
        <f>IF(ISERROR(VLOOKUP($A139,通讯录!$A:$H,5,FALSE)&amp;""),"",VLOOKUP($A139,通讯录!$A:$H,5,FALSE)&amp;"")</f>
        <v/>
      </c>
      <c r="E139" s="17" t="str">
        <f>IF(ISERROR(VLOOKUP($A139,通讯录!$A:$H,6,FALSE)&amp;""),"",VLOOKUP($A139,通讯录!$A:$H,6,FALSE)&amp;"")</f>
        <v/>
      </c>
      <c r="F139" s="17" t="str">
        <f>IF(ISERROR(VLOOKUP($A139,通讯录!$A:$H,4,FALSE)&amp;""),"",VLOOKUP($A139,通讯录!$A:$H,4,FALSE)&amp;"")</f>
        <v/>
      </c>
      <c r="G139" s="17" t="str">
        <f>IF(ISERROR(VLOOKUP($A139,通讯录!$A:$H,8,FALSE)&amp;""),"",VLOOKUP($A139,通讯录!$A:$H,8,FALSE)&amp;"")</f>
        <v/>
      </c>
      <c r="K139" s="26"/>
      <c r="L139" s="26" t="str">
        <f t="shared" si="5"/>
        <v/>
      </c>
      <c r="M139" s="26"/>
      <c r="N139" s="26"/>
      <c r="O139" s="26"/>
      <c r="P139" s="26"/>
      <c r="Q139" s="26"/>
      <c r="R139" s="26"/>
    </row>
    <row r="140" s="17" customFormat="1" spans="2:18">
      <c r="B140" s="17" t="str">
        <f>IF(ISERROR(VLOOKUP($A140,通讯录!$A:$H,3,FALSE)&amp;""),"",VLOOKUP($A140,通讯录!$A:$H,3,FALSE)&amp;"")</f>
        <v/>
      </c>
      <c r="C140" s="17" t="str">
        <f>IF(ISERROR(VLOOKUP($A140,通讯录!$A:$H,7,FALSE)&amp;""),"",VLOOKUP($A140,通讯录!$A:$H,7,FALSE)&amp;"")</f>
        <v/>
      </c>
      <c r="D140" s="17" t="str">
        <f>IF(ISERROR(VLOOKUP($A140,通讯录!$A:$H,5,FALSE)&amp;""),"",VLOOKUP($A140,通讯录!$A:$H,5,FALSE)&amp;"")</f>
        <v/>
      </c>
      <c r="E140" s="17" t="str">
        <f>IF(ISERROR(VLOOKUP($A140,通讯录!$A:$H,6,FALSE)&amp;""),"",VLOOKUP($A140,通讯录!$A:$H,6,FALSE)&amp;"")</f>
        <v/>
      </c>
      <c r="F140" s="17" t="str">
        <f>IF(ISERROR(VLOOKUP($A140,通讯录!$A:$H,4,FALSE)&amp;""),"",VLOOKUP($A140,通讯录!$A:$H,4,FALSE)&amp;"")</f>
        <v/>
      </c>
      <c r="G140" s="17" t="str">
        <f>IF(ISERROR(VLOOKUP($A140,通讯录!$A:$H,8,FALSE)&amp;""),"",VLOOKUP($A140,通讯录!$A:$H,8,FALSE)&amp;"")</f>
        <v/>
      </c>
      <c r="K140" s="26"/>
      <c r="L140" s="26" t="str">
        <f t="shared" si="5"/>
        <v/>
      </c>
      <c r="M140" s="26"/>
      <c r="N140" s="26"/>
      <c r="O140" s="26"/>
      <c r="P140" s="26"/>
      <c r="Q140" s="26"/>
      <c r="R140" s="26"/>
    </row>
    <row r="141" s="17" customFormat="1" spans="2:18">
      <c r="B141" s="17" t="str">
        <f>IF(ISERROR(VLOOKUP($A141,通讯录!$A:$H,3,FALSE)&amp;""),"",VLOOKUP($A141,通讯录!$A:$H,3,FALSE)&amp;"")</f>
        <v/>
      </c>
      <c r="C141" s="17" t="str">
        <f>IF(ISERROR(VLOOKUP($A141,通讯录!$A:$H,7,FALSE)&amp;""),"",VLOOKUP($A141,通讯录!$A:$H,7,FALSE)&amp;"")</f>
        <v/>
      </c>
      <c r="D141" s="17" t="str">
        <f>IF(ISERROR(VLOOKUP($A141,通讯录!$A:$H,5,FALSE)&amp;""),"",VLOOKUP($A141,通讯录!$A:$H,5,FALSE)&amp;"")</f>
        <v/>
      </c>
      <c r="E141" s="17" t="str">
        <f>IF(ISERROR(VLOOKUP($A141,通讯录!$A:$H,6,FALSE)&amp;""),"",VLOOKUP($A141,通讯录!$A:$H,6,FALSE)&amp;"")</f>
        <v/>
      </c>
      <c r="F141" s="17" t="str">
        <f>IF(ISERROR(VLOOKUP($A141,通讯录!$A:$H,4,FALSE)&amp;""),"",VLOOKUP($A141,通讯录!$A:$H,4,FALSE)&amp;"")</f>
        <v/>
      </c>
      <c r="G141" s="17" t="str">
        <f>IF(ISERROR(VLOOKUP($A141,通讯录!$A:$H,8,FALSE)&amp;""),"",VLOOKUP($A141,通讯录!$A:$H,8,FALSE)&amp;"")</f>
        <v/>
      </c>
      <c r="K141" s="26"/>
      <c r="L141" s="26" t="str">
        <f t="shared" si="5"/>
        <v/>
      </c>
      <c r="M141" s="26"/>
      <c r="N141" s="26"/>
      <c r="O141" s="26"/>
      <c r="P141" s="26"/>
      <c r="Q141" s="26"/>
      <c r="R141" s="26"/>
    </row>
    <row r="142" s="17" customFormat="1" spans="2:18">
      <c r="B142" s="17" t="str">
        <f>IF(ISERROR(VLOOKUP($A142,通讯录!$A:$H,3,FALSE)&amp;""),"",VLOOKUP($A142,通讯录!$A:$H,3,FALSE)&amp;"")</f>
        <v/>
      </c>
      <c r="C142" s="17" t="str">
        <f>IF(ISERROR(VLOOKUP($A142,通讯录!$A:$H,7,FALSE)&amp;""),"",VLOOKUP($A142,通讯录!$A:$H,7,FALSE)&amp;"")</f>
        <v/>
      </c>
      <c r="D142" s="17" t="str">
        <f>IF(ISERROR(VLOOKUP($A142,通讯录!$A:$H,5,FALSE)&amp;""),"",VLOOKUP($A142,通讯录!$A:$H,5,FALSE)&amp;"")</f>
        <v/>
      </c>
      <c r="E142" s="17" t="str">
        <f>IF(ISERROR(VLOOKUP($A142,通讯录!$A:$H,6,FALSE)&amp;""),"",VLOOKUP($A142,通讯录!$A:$H,6,FALSE)&amp;"")</f>
        <v/>
      </c>
      <c r="F142" s="17" t="str">
        <f>IF(ISERROR(VLOOKUP($A142,通讯录!$A:$H,4,FALSE)&amp;""),"",VLOOKUP($A142,通讯录!$A:$H,4,FALSE)&amp;"")</f>
        <v/>
      </c>
      <c r="G142" s="17" t="str">
        <f>IF(ISERROR(VLOOKUP($A142,通讯录!$A:$H,8,FALSE)&amp;""),"",VLOOKUP($A142,通讯录!$A:$H,8,FALSE)&amp;"")</f>
        <v/>
      </c>
      <c r="K142" s="26"/>
      <c r="L142" s="26" t="str">
        <f t="shared" si="5"/>
        <v/>
      </c>
      <c r="M142" s="26"/>
      <c r="N142" s="26"/>
      <c r="O142" s="26"/>
      <c r="P142" s="26"/>
      <c r="Q142" s="26"/>
      <c r="R142" s="26"/>
    </row>
    <row r="143" spans="2:12">
      <c r="B143" s="20" t="str">
        <f>IF(ISERROR(VLOOKUP($A143,通讯录!$A:$H,3,FALSE)&amp;""),"",VLOOKUP($A143,通讯录!$A:$H,3,FALSE)&amp;"")</f>
        <v/>
      </c>
      <c r="C143" s="20" t="str">
        <f>IF(ISERROR(VLOOKUP($A143,通讯录!$A:$H,7,FALSE)&amp;""),"",VLOOKUP($A143,通讯录!$A:$H,7,FALSE)&amp;"")</f>
        <v/>
      </c>
      <c r="D143" s="20" t="str">
        <f>IF(ISERROR(VLOOKUP($A143,通讯录!$A:$H,5,FALSE)&amp;""),"",VLOOKUP($A143,通讯录!$A:$H,5,FALSE)&amp;"")</f>
        <v/>
      </c>
      <c r="E143" s="20" t="str">
        <f>IF(ISERROR(VLOOKUP($A143,通讯录!$A:$H,6,FALSE)&amp;""),"",VLOOKUP($A143,通讯录!$A:$H,6,FALSE)&amp;"")</f>
        <v/>
      </c>
      <c r="F143" s="20" t="str">
        <f>IF(ISERROR(VLOOKUP($A143,通讯录!$A:$H,4,FALSE)&amp;""),"",VLOOKUP($A143,通讯录!$A:$H,4,FALSE)&amp;"")</f>
        <v/>
      </c>
      <c r="G143" s="20" t="str">
        <f>IF(ISERROR(VLOOKUP($A143,通讯录!$A:$H,8,FALSE)&amp;""),"",VLOOKUP($A143,通讯录!$A:$H,8,FALSE)&amp;"")</f>
        <v/>
      </c>
      <c r="L143" s="21" t="str">
        <f t="shared" si="5"/>
        <v/>
      </c>
    </row>
    <row r="144" spans="2:12">
      <c r="B144" s="20" t="str">
        <f>IF(ISERROR(VLOOKUP($A144,通讯录!$A:$H,3,FALSE)&amp;""),"",VLOOKUP($A144,通讯录!$A:$H,3,FALSE)&amp;"")</f>
        <v/>
      </c>
      <c r="C144" s="20" t="str">
        <f>IF(ISERROR(VLOOKUP($A144,通讯录!$A:$H,7,FALSE)&amp;""),"",VLOOKUP($A144,通讯录!$A:$H,7,FALSE)&amp;"")</f>
        <v/>
      </c>
      <c r="D144" s="20" t="str">
        <f>IF(ISERROR(VLOOKUP($A144,通讯录!$A:$H,5,FALSE)&amp;""),"",VLOOKUP($A144,通讯录!$A:$H,5,FALSE)&amp;"")</f>
        <v/>
      </c>
      <c r="E144" s="20" t="str">
        <f>IF(ISERROR(VLOOKUP($A144,通讯录!$A:$H,6,FALSE)&amp;""),"",VLOOKUP($A144,通讯录!$A:$H,6,FALSE)&amp;"")</f>
        <v/>
      </c>
      <c r="F144" s="20" t="str">
        <f>IF(ISERROR(VLOOKUP($A144,通讯录!$A:$H,4,FALSE)&amp;""),"",VLOOKUP($A144,通讯录!$A:$H,4,FALSE)&amp;"")</f>
        <v/>
      </c>
      <c r="G144" s="20" t="str">
        <f>IF(ISERROR(VLOOKUP($A144,通讯录!$A:$H,8,FALSE)&amp;""),"",VLOOKUP($A144,通讯录!$A:$H,8,FALSE)&amp;"")</f>
        <v/>
      </c>
      <c r="L144" s="21" t="str">
        <f t="shared" si="5"/>
        <v/>
      </c>
    </row>
    <row r="145" spans="2:12">
      <c r="B145" s="20" t="str">
        <f>IF(ISERROR(VLOOKUP($A145,通讯录!$A:$H,3,FALSE)&amp;""),"",VLOOKUP($A145,通讯录!$A:$H,3,FALSE)&amp;"")</f>
        <v/>
      </c>
      <c r="C145" s="20" t="str">
        <f>IF(ISERROR(VLOOKUP($A145,通讯录!$A:$H,7,FALSE)&amp;""),"",VLOOKUP($A145,通讯录!$A:$H,7,FALSE)&amp;"")</f>
        <v/>
      </c>
      <c r="D145" s="20" t="str">
        <f>IF(ISERROR(VLOOKUP($A145,通讯录!$A:$H,5,FALSE)&amp;""),"",VLOOKUP($A145,通讯录!$A:$H,5,FALSE)&amp;"")</f>
        <v/>
      </c>
      <c r="E145" s="20" t="str">
        <f>IF(ISERROR(VLOOKUP($A145,通讯录!$A:$H,6,FALSE)&amp;""),"",VLOOKUP($A145,通讯录!$A:$H,6,FALSE)&amp;"")</f>
        <v/>
      </c>
      <c r="F145" s="20" t="str">
        <f>IF(ISERROR(VLOOKUP($A145,通讯录!$A:$H,4,FALSE)&amp;""),"",VLOOKUP($A145,通讯录!$A:$H,4,FALSE)&amp;"")</f>
        <v/>
      </c>
      <c r="G145" s="20" t="str">
        <f>IF(ISERROR(VLOOKUP($A145,通讯录!$A:$H,8,FALSE)&amp;""),"",VLOOKUP($A145,通讯录!$A:$H,8,FALSE)&amp;"")</f>
        <v/>
      </c>
      <c r="L145" s="21" t="str">
        <f t="shared" si="5"/>
        <v/>
      </c>
    </row>
    <row r="146" spans="2:12">
      <c r="B146" s="20" t="str">
        <f>IF(ISERROR(VLOOKUP($A146,通讯录!$A:$H,3,FALSE)&amp;""),"",VLOOKUP($A146,通讯录!$A:$H,3,FALSE)&amp;"")</f>
        <v/>
      </c>
      <c r="C146" s="20" t="str">
        <f>IF(ISERROR(VLOOKUP($A146,通讯录!$A:$H,7,FALSE)&amp;""),"",VLOOKUP($A146,通讯录!$A:$H,7,FALSE)&amp;"")</f>
        <v/>
      </c>
      <c r="D146" s="20" t="str">
        <f>IF(ISERROR(VLOOKUP($A146,通讯录!$A:$H,5,FALSE)&amp;""),"",VLOOKUP($A146,通讯录!$A:$H,5,FALSE)&amp;"")</f>
        <v/>
      </c>
      <c r="E146" s="20" t="str">
        <f>IF(ISERROR(VLOOKUP($A146,通讯录!$A:$H,6,FALSE)&amp;""),"",VLOOKUP($A146,通讯录!$A:$H,6,FALSE)&amp;"")</f>
        <v/>
      </c>
      <c r="F146" s="20" t="str">
        <f>IF(ISERROR(VLOOKUP($A146,通讯录!$A:$H,4,FALSE)&amp;""),"",VLOOKUP($A146,通讯录!$A:$H,4,FALSE)&amp;"")</f>
        <v/>
      </c>
      <c r="G146" s="20" t="str">
        <f>IF(ISERROR(VLOOKUP($A146,通讯录!$A:$H,8,FALSE)&amp;""),"",VLOOKUP($A146,通讯录!$A:$H,8,FALSE)&amp;"")</f>
        <v/>
      </c>
      <c r="L146" s="21" t="str">
        <f t="shared" si="5"/>
        <v/>
      </c>
    </row>
    <row r="147" spans="2:12">
      <c r="B147" s="20" t="str">
        <f>IF(ISERROR(VLOOKUP($A147,通讯录!$A:$H,3,FALSE)&amp;""),"",VLOOKUP($A147,通讯录!$A:$H,3,FALSE)&amp;"")</f>
        <v/>
      </c>
      <c r="C147" s="20" t="str">
        <f>IF(ISERROR(VLOOKUP($A147,通讯录!$A:$H,7,FALSE)&amp;""),"",VLOOKUP($A147,通讯录!$A:$H,7,FALSE)&amp;"")</f>
        <v/>
      </c>
      <c r="D147" s="20" t="str">
        <f>IF(ISERROR(VLOOKUP($A147,通讯录!$A:$H,5,FALSE)&amp;""),"",VLOOKUP($A147,通讯录!$A:$H,5,FALSE)&amp;"")</f>
        <v/>
      </c>
      <c r="E147" s="20" t="str">
        <f>IF(ISERROR(VLOOKUP($A147,通讯录!$A:$H,6,FALSE)&amp;""),"",VLOOKUP($A147,通讯录!$A:$H,6,FALSE)&amp;"")</f>
        <v/>
      </c>
      <c r="F147" s="20" t="str">
        <f>IF(ISERROR(VLOOKUP($A147,通讯录!$A:$H,4,FALSE)&amp;""),"",VLOOKUP($A147,通讯录!$A:$H,4,FALSE)&amp;"")</f>
        <v/>
      </c>
      <c r="G147" s="20" t="str">
        <f>IF(ISERROR(VLOOKUP($A147,通讯录!$A:$H,8,FALSE)&amp;""),"",VLOOKUP($A147,通讯录!$A:$H,8,FALSE)&amp;"")</f>
        <v/>
      </c>
      <c r="L147" s="21" t="str">
        <f t="shared" si="5"/>
        <v/>
      </c>
    </row>
    <row r="148" spans="2:12">
      <c r="B148" s="20" t="str">
        <f>IF(ISERROR(VLOOKUP($A148,通讯录!$A:$H,3,FALSE)&amp;""),"",VLOOKUP($A148,通讯录!$A:$H,3,FALSE)&amp;"")</f>
        <v/>
      </c>
      <c r="C148" s="20" t="str">
        <f>IF(ISERROR(VLOOKUP($A148,通讯录!$A:$H,7,FALSE)&amp;""),"",VLOOKUP($A148,通讯录!$A:$H,7,FALSE)&amp;"")</f>
        <v/>
      </c>
      <c r="D148" s="20" t="str">
        <f>IF(ISERROR(VLOOKUP($A148,通讯录!$A:$H,5,FALSE)&amp;""),"",VLOOKUP($A148,通讯录!$A:$H,5,FALSE)&amp;"")</f>
        <v/>
      </c>
      <c r="E148" s="20" t="str">
        <f>IF(ISERROR(VLOOKUP($A148,通讯录!$A:$H,6,FALSE)&amp;""),"",VLOOKUP($A148,通讯录!$A:$H,6,FALSE)&amp;"")</f>
        <v/>
      </c>
      <c r="F148" s="20" t="str">
        <f>IF(ISERROR(VLOOKUP($A148,通讯录!$A:$H,4,FALSE)&amp;""),"",VLOOKUP($A148,通讯录!$A:$H,4,FALSE)&amp;"")</f>
        <v/>
      </c>
      <c r="G148" s="20" t="str">
        <f>IF(ISERROR(VLOOKUP($A148,通讯录!$A:$H,8,FALSE)&amp;""),"",VLOOKUP($A148,通讯录!$A:$H,8,FALSE)&amp;"")</f>
        <v/>
      </c>
      <c r="L148" s="21" t="str">
        <f t="shared" si="5"/>
        <v/>
      </c>
    </row>
    <row r="149" spans="2:12">
      <c r="B149" s="20" t="str">
        <f>IF(ISERROR(VLOOKUP($A149,通讯录!$A:$H,3,FALSE)&amp;""),"",VLOOKUP($A149,通讯录!$A:$H,3,FALSE)&amp;"")</f>
        <v/>
      </c>
      <c r="C149" s="20" t="str">
        <f>IF(ISERROR(VLOOKUP($A149,通讯录!$A:$H,7,FALSE)&amp;""),"",VLOOKUP($A149,通讯录!$A:$H,7,FALSE)&amp;"")</f>
        <v/>
      </c>
      <c r="D149" s="20" t="str">
        <f>IF(ISERROR(VLOOKUP($A149,通讯录!$A:$H,5,FALSE)&amp;""),"",VLOOKUP($A149,通讯录!$A:$H,5,FALSE)&amp;"")</f>
        <v/>
      </c>
      <c r="E149" s="20" t="str">
        <f>IF(ISERROR(VLOOKUP($A149,通讯录!$A:$H,6,FALSE)&amp;""),"",VLOOKUP($A149,通讯录!$A:$H,6,FALSE)&amp;"")</f>
        <v/>
      </c>
      <c r="F149" s="20" t="str">
        <f>IF(ISERROR(VLOOKUP($A149,通讯录!$A:$H,4,FALSE)&amp;""),"",VLOOKUP($A149,通讯录!$A:$H,4,FALSE)&amp;"")</f>
        <v/>
      </c>
      <c r="G149" s="20" t="str">
        <f>IF(ISERROR(VLOOKUP($A149,通讯录!$A:$H,8,FALSE)&amp;""),"",VLOOKUP($A149,通讯录!$A:$H,8,FALSE)&amp;"")</f>
        <v/>
      </c>
      <c r="L149" s="21" t="str">
        <f t="shared" si="5"/>
        <v/>
      </c>
    </row>
    <row r="150" spans="2:12">
      <c r="B150" s="20" t="str">
        <f>IF(ISERROR(VLOOKUP($A150,通讯录!$A:$H,3,FALSE)&amp;""),"",VLOOKUP($A150,通讯录!$A:$H,3,FALSE)&amp;"")</f>
        <v/>
      </c>
      <c r="C150" s="20" t="str">
        <f>IF(ISERROR(VLOOKUP($A150,通讯录!$A:$H,7,FALSE)&amp;""),"",VLOOKUP($A150,通讯录!$A:$H,7,FALSE)&amp;"")</f>
        <v/>
      </c>
      <c r="D150" s="20" t="str">
        <f>IF(ISERROR(VLOOKUP($A150,通讯录!$A:$H,5,FALSE)&amp;""),"",VLOOKUP($A150,通讯录!$A:$H,5,FALSE)&amp;"")</f>
        <v/>
      </c>
      <c r="E150" s="20" t="str">
        <f>IF(ISERROR(VLOOKUP($A150,通讯录!$A:$H,6,FALSE)&amp;""),"",VLOOKUP($A150,通讯录!$A:$H,6,FALSE)&amp;"")</f>
        <v/>
      </c>
      <c r="F150" s="20" t="str">
        <f>IF(ISERROR(VLOOKUP($A150,通讯录!$A:$H,4,FALSE)&amp;""),"",VLOOKUP($A150,通讯录!$A:$H,4,FALSE)&amp;"")</f>
        <v/>
      </c>
      <c r="G150" s="20" t="str">
        <f>IF(ISERROR(VLOOKUP($A150,通讯录!$A:$H,8,FALSE)&amp;""),"",VLOOKUP($A150,通讯录!$A:$H,8,FALSE)&amp;"")</f>
        <v/>
      </c>
      <c r="L150" s="21" t="str">
        <f t="shared" si="5"/>
        <v/>
      </c>
    </row>
    <row r="151" spans="2:12">
      <c r="B151" s="20" t="str">
        <f>IF(ISERROR(VLOOKUP($A151,通讯录!$A:$H,3,FALSE)&amp;""),"",VLOOKUP($A151,通讯录!$A:$H,3,FALSE)&amp;"")</f>
        <v/>
      </c>
      <c r="C151" s="20" t="str">
        <f>IF(ISERROR(VLOOKUP($A151,通讯录!$A:$H,7,FALSE)&amp;""),"",VLOOKUP($A151,通讯录!$A:$H,7,FALSE)&amp;"")</f>
        <v/>
      </c>
      <c r="D151" s="20" t="str">
        <f>IF(ISERROR(VLOOKUP($A151,通讯录!$A:$H,5,FALSE)&amp;""),"",VLOOKUP($A151,通讯录!$A:$H,5,FALSE)&amp;"")</f>
        <v/>
      </c>
      <c r="E151" s="20" t="str">
        <f>IF(ISERROR(VLOOKUP($A151,通讯录!$A:$H,6,FALSE)&amp;""),"",VLOOKUP($A151,通讯录!$A:$H,6,FALSE)&amp;"")</f>
        <v/>
      </c>
      <c r="F151" s="20" t="str">
        <f>IF(ISERROR(VLOOKUP($A151,通讯录!$A:$H,4,FALSE)&amp;""),"",VLOOKUP($A151,通讯录!$A:$H,4,FALSE)&amp;"")</f>
        <v/>
      </c>
      <c r="G151" s="20" t="str">
        <f>IF(ISERROR(VLOOKUP($A151,通讯录!$A:$H,8,FALSE)&amp;""),"",VLOOKUP($A151,通讯录!$A:$H,8,FALSE)&amp;"")</f>
        <v/>
      </c>
      <c r="L151" s="21" t="str">
        <f t="shared" si="5"/>
        <v/>
      </c>
    </row>
    <row r="152" spans="2:12">
      <c r="B152" s="20" t="str">
        <f>IF(ISERROR(VLOOKUP($A152,通讯录!$A:$H,3,FALSE)&amp;""),"",VLOOKUP($A152,通讯录!$A:$H,3,FALSE)&amp;"")</f>
        <v/>
      </c>
      <c r="C152" s="20" t="str">
        <f>IF(ISERROR(VLOOKUP($A152,通讯录!$A:$H,7,FALSE)&amp;""),"",VLOOKUP($A152,通讯录!$A:$H,7,FALSE)&amp;"")</f>
        <v/>
      </c>
      <c r="D152" s="20" t="str">
        <f>IF(ISERROR(VLOOKUP($A152,通讯录!$A:$H,5,FALSE)&amp;""),"",VLOOKUP($A152,通讯录!$A:$H,5,FALSE)&amp;"")</f>
        <v/>
      </c>
      <c r="E152" s="20" t="str">
        <f>IF(ISERROR(VLOOKUP($A152,通讯录!$A:$H,6,FALSE)&amp;""),"",VLOOKUP($A152,通讯录!$A:$H,6,FALSE)&amp;"")</f>
        <v/>
      </c>
      <c r="F152" s="20" t="str">
        <f>IF(ISERROR(VLOOKUP($A152,通讯录!$A:$H,4,FALSE)&amp;""),"",VLOOKUP($A152,通讯录!$A:$H,4,FALSE)&amp;"")</f>
        <v/>
      </c>
      <c r="G152" s="20" t="str">
        <f>IF(ISERROR(VLOOKUP($A152,通讯录!$A:$H,8,FALSE)&amp;""),"",VLOOKUP($A152,通讯录!$A:$H,8,FALSE)&amp;"")</f>
        <v/>
      </c>
      <c r="L152" s="21" t="str">
        <f t="shared" si="5"/>
        <v/>
      </c>
    </row>
    <row r="153" spans="2:12">
      <c r="B153" s="20" t="str">
        <f>IF(ISERROR(VLOOKUP($A153,通讯录!$A:$H,3,FALSE)&amp;""),"",VLOOKUP($A153,通讯录!$A:$H,3,FALSE)&amp;"")</f>
        <v/>
      </c>
      <c r="C153" s="20" t="str">
        <f>IF(ISERROR(VLOOKUP($A153,通讯录!$A:$H,7,FALSE)&amp;""),"",VLOOKUP($A153,通讯录!$A:$H,7,FALSE)&amp;"")</f>
        <v/>
      </c>
      <c r="D153" s="20" t="str">
        <f>IF(ISERROR(VLOOKUP($A153,通讯录!$A:$H,5,FALSE)&amp;""),"",VLOOKUP($A153,通讯录!$A:$H,5,FALSE)&amp;"")</f>
        <v/>
      </c>
      <c r="E153" s="20" t="str">
        <f>IF(ISERROR(VLOOKUP($A153,通讯录!$A:$H,6,FALSE)&amp;""),"",VLOOKUP($A153,通讯录!$A:$H,6,FALSE)&amp;"")</f>
        <v/>
      </c>
      <c r="F153" s="20" t="str">
        <f>IF(ISERROR(VLOOKUP($A153,通讯录!$A:$H,4,FALSE)&amp;""),"",VLOOKUP($A153,通讯录!$A:$H,4,FALSE)&amp;"")</f>
        <v/>
      </c>
      <c r="G153" s="20" t="str">
        <f>IF(ISERROR(VLOOKUP($A153,通讯录!$A:$H,8,FALSE)&amp;""),"",VLOOKUP($A153,通讯录!$A:$H,8,FALSE)&amp;"")</f>
        <v/>
      </c>
      <c r="L153" s="21" t="str">
        <f t="shared" si="5"/>
        <v/>
      </c>
    </row>
    <row r="154" spans="2:12">
      <c r="B154" s="20" t="str">
        <f>IF(ISERROR(VLOOKUP($A154,通讯录!$A:$H,3,FALSE)&amp;""),"",VLOOKUP($A154,通讯录!$A:$H,3,FALSE)&amp;"")</f>
        <v/>
      </c>
      <c r="C154" s="20" t="str">
        <f>IF(ISERROR(VLOOKUP($A154,通讯录!$A:$H,7,FALSE)&amp;""),"",VLOOKUP($A154,通讯录!$A:$H,7,FALSE)&amp;"")</f>
        <v/>
      </c>
      <c r="D154" s="20" t="str">
        <f>IF(ISERROR(VLOOKUP($A154,通讯录!$A:$H,5,FALSE)&amp;""),"",VLOOKUP($A154,通讯录!$A:$H,5,FALSE)&amp;"")</f>
        <v/>
      </c>
      <c r="E154" s="20" t="str">
        <f>IF(ISERROR(VLOOKUP($A154,通讯录!$A:$H,6,FALSE)&amp;""),"",VLOOKUP($A154,通讯录!$A:$H,6,FALSE)&amp;"")</f>
        <v/>
      </c>
      <c r="F154" s="20" t="str">
        <f>IF(ISERROR(VLOOKUP($A154,通讯录!$A:$H,4,FALSE)&amp;""),"",VLOOKUP($A154,通讯录!$A:$H,4,FALSE)&amp;"")</f>
        <v/>
      </c>
      <c r="G154" s="20" t="str">
        <f>IF(ISERROR(VLOOKUP($A154,通讯录!$A:$H,8,FALSE)&amp;""),"",VLOOKUP($A154,通讯录!$A:$H,8,FALSE)&amp;"")</f>
        <v/>
      </c>
      <c r="L154" s="21" t="str">
        <f t="shared" si="5"/>
        <v/>
      </c>
    </row>
    <row r="155" spans="2:12">
      <c r="B155" s="20" t="str">
        <f>IF(ISERROR(VLOOKUP($A155,通讯录!$A:$H,3,FALSE)&amp;""),"",VLOOKUP($A155,通讯录!$A:$H,3,FALSE)&amp;"")</f>
        <v/>
      </c>
      <c r="C155" s="20" t="str">
        <f>IF(ISERROR(VLOOKUP($A155,通讯录!$A:$H,7,FALSE)&amp;""),"",VLOOKUP($A155,通讯录!$A:$H,7,FALSE)&amp;"")</f>
        <v/>
      </c>
      <c r="D155" s="20" t="str">
        <f>IF(ISERROR(VLOOKUP($A155,通讯录!$A:$H,5,FALSE)&amp;""),"",VLOOKUP($A155,通讯录!$A:$H,5,FALSE)&amp;"")</f>
        <v/>
      </c>
      <c r="E155" s="20" t="str">
        <f>IF(ISERROR(VLOOKUP($A155,通讯录!$A:$H,6,FALSE)&amp;""),"",VLOOKUP($A155,通讯录!$A:$H,6,FALSE)&amp;"")</f>
        <v/>
      </c>
      <c r="F155" s="20" t="str">
        <f>IF(ISERROR(VLOOKUP($A155,通讯录!$A:$H,4,FALSE)&amp;""),"",VLOOKUP($A155,通讯录!$A:$H,4,FALSE)&amp;"")</f>
        <v/>
      </c>
      <c r="G155" s="20" t="str">
        <f>IF(ISERROR(VLOOKUP($A155,通讯录!$A:$H,8,FALSE)&amp;""),"",VLOOKUP($A155,通讯录!$A:$H,8,FALSE)&amp;"")</f>
        <v/>
      </c>
      <c r="L155" s="21" t="str">
        <f t="shared" si="5"/>
        <v/>
      </c>
    </row>
    <row r="156" spans="2:12">
      <c r="B156" s="20" t="str">
        <f>IF(ISERROR(VLOOKUP($A156,通讯录!$A:$H,3,FALSE)&amp;""),"",VLOOKUP($A156,通讯录!$A:$H,3,FALSE)&amp;"")</f>
        <v/>
      </c>
      <c r="C156" s="20" t="str">
        <f>IF(ISERROR(VLOOKUP($A156,通讯录!$A:$H,7,FALSE)&amp;""),"",VLOOKUP($A156,通讯录!$A:$H,7,FALSE)&amp;"")</f>
        <v/>
      </c>
      <c r="D156" s="20" t="str">
        <f>IF(ISERROR(VLOOKUP($A156,通讯录!$A:$H,5,FALSE)&amp;""),"",VLOOKUP($A156,通讯录!$A:$H,5,FALSE)&amp;"")</f>
        <v/>
      </c>
      <c r="E156" s="20" t="str">
        <f>IF(ISERROR(VLOOKUP($A156,通讯录!$A:$H,6,FALSE)&amp;""),"",VLOOKUP($A156,通讯录!$A:$H,6,FALSE)&amp;"")</f>
        <v/>
      </c>
      <c r="F156" s="20" t="str">
        <f>IF(ISERROR(VLOOKUP($A156,通讯录!$A:$H,4,FALSE)&amp;""),"",VLOOKUP($A156,通讯录!$A:$H,4,FALSE)&amp;"")</f>
        <v/>
      </c>
      <c r="G156" s="20" t="str">
        <f>IF(ISERROR(VLOOKUP($A156,通讯录!$A:$H,8,FALSE)&amp;""),"",VLOOKUP($A156,通讯录!$A:$H,8,FALSE)&amp;"")</f>
        <v/>
      </c>
      <c r="L156" s="21" t="str">
        <f t="shared" si="5"/>
        <v/>
      </c>
    </row>
    <row r="157" spans="2:12">
      <c r="B157" s="20" t="str">
        <f>IF(ISERROR(VLOOKUP($A157,通讯录!$A:$H,3,FALSE)&amp;""),"",VLOOKUP($A157,通讯录!$A:$H,3,FALSE)&amp;"")</f>
        <v/>
      </c>
      <c r="C157" s="20" t="str">
        <f>IF(ISERROR(VLOOKUP($A157,通讯录!$A:$H,7,FALSE)&amp;""),"",VLOOKUP($A157,通讯录!$A:$H,7,FALSE)&amp;"")</f>
        <v/>
      </c>
      <c r="D157" s="20" t="str">
        <f>IF(ISERROR(VLOOKUP($A157,通讯录!$A:$H,5,FALSE)&amp;""),"",VLOOKUP($A157,通讯录!$A:$H,5,FALSE)&amp;"")</f>
        <v/>
      </c>
      <c r="E157" s="20" t="str">
        <f>IF(ISERROR(VLOOKUP($A157,通讯录!$A:$H,6,FALSE)&amp;""),"",VLOOKUP($A157,通讯录!$A:$H,6,FALSE)&amp;"")</f>
        <v/>
      </c>
      <c r="F157" s="20" t="str">
        <f>IF(ISERROR(VLOOKUP($A157,通讯录!$A:$H,4,FALSE)&amp;""),"",VLOOKUP($A157,通讯录!$A:$H,4,FALSE)&amp;"")</f>
        <v/>
      </c>
      <c r="G157" s="20" t="str">
        <f>IF(ISERROR(VLOOKUP($A157,通讯录!$A:$H,8,FALSE)&amp;""),"",VLOOKUP($A157,通讯录!$A:$H,8,FALSE)&amp;"")</f>
        <v/>
      </c>
      <c r="L157" s="21" t="str">
        <f t="shared" si="5"/>
        <v/>
      </c>
    </row>
    <row r="158" spans="2:12">
      <c r="B158" s="20" t="str">
        <f>IF(ISERROR(VLOOKUP($A158,通讯录!$A:$H,3,FALSE)&amp;""),"",VLOOKUP($A158,通讯录!$A:$H,3,FALSE)&amp;"")</f>
        <v/>
      </c>
      <c r="C158" s="20" t="str">
        <f>IF(ISERROR(VLOOKUP($A158,通讯录!$A:$H,7,FALSE)&amp;""),"",VLOOKUP($A158,通讯录!$A:$H,7,FALSE)&amp;"")</f>
        <v/>
      </c>
      <c r="D158" s="20" t="str">
        <f>IF(ISERROR(VLOOKUP($A158,通讯录!$A:$H,5,FALSE)&amp;""),"",VLOOKUP($A158,通讯录!$A:$H,5,FALSE)&amp;"")</f>
        <v/>
      </c>
      <c r="E158" s="20" t="str">
        <f>IF(ISERROR(VLOOKUP($A158,通讯录!$A:$H,6,FALSE)&amp;""),"",VLOOKUP($A158,通讯录!$A:$H,6,FALSE)&amp;"")</f>
        <v/>
      </c>
      <c r="F158" s="20" t="str">
        <f>IF(ISERROR(VLOOKUP($A158,通讯录!$A:$H,4,FALSE)&amp;""),"",VLOOKUP($A158,通讯录!$A:$H,4,FALSE)&amp;"")</f>
        <v/>
      </c>
      <c r="G158" s="20" t="str">
        <f>IF(ISERROR(VLOOKUP($A158,通讯录!$A:$H,8,FALSE)&amp;""),"",VLOOKUP($A158,通讯录!$A:$H,8,FALSE)&amp;"")</f>
        <v/>
      </c>
      <c r="L158" s="21" t="str">
        <f t="shared" si="5"/>
        <v/>
      </c>
    </row>
    <row r="159" spans="2:12">
      <c r="B159" s="20" t="str">
        <f>IF(ISERROR(VLOOKUP($A159,通讯录!$A:$H,3,FALSE)&amp;""),"",VLOOKUP($A159,通讯录!$A:$H,3,FALSE)&amp;"")</f>
        <v/>
      </c>
      <c r="C159" s="20" t="str">
        <f>IF(ISERROR(VLOOKUP($A159,通讯录!$A:$H,7,FALSE)&amp;""),"",VLOOKUP($A159,通讯录!$A:$H,7,FALSE)&amp;"")</f>
        <v/>
      </c>
      <c r="D159" s="20" t="str">
        <f>IF(ISERROR(VLOOKUP($A159,通讯录!$A:$H,5,FALSE)&amp;""),"",VLOOKUP($A159,通讯录!$A:$H,5,FALSE)&amp;"")</f>
        <v/>
      </c>
      <c r="E159" s="20" t="str">
        <f>IF(ISERROR(VLOOKUP($A159,通讯录!$A:$H,6,FALSE)&amp;""),"",VLOOKUP($A159,通讯录!$A:$H,6,FALSE)&amp;"")</f>
        <v/>
      </c>
      <c r="F159" s="20" t="str">
        <f>IF(ISERROR(VLOOKUP($A159,通讯录!$A:$H,4,FALSE)&amp;""),"",VLOOKUP($A159,通讯录!$A:$H,4,FALSE)&amp;"")</f>
        <v/>
      </c>
      <c r="G159" s="20" t="str">
        <f>IF(ISERROR(VLOOKUP($A159,通讯录!$A:$H,8,FALSE)&amp;""),"",VLOOKUP($A159,通讯录!$A:$H,8,FALSE)&amp;"")</f>
        <v/>
      </c>
      <c r="L159" s="21" t="str">
        <f t="shared" si="5"/>
        <v/>
      </c>
    </row>
    <row r="160" spans="2:12">
      <c r="B160" s="20" t="str">
        <f>IF(ISERROR(VLOOKUP($A160,通讯录!$A:$H,3,FALSE)&amp;""),"",VLOOKUP($A160,通讯录!$A:$H,3,FALSE)&amp;"")</f>
        <v/>
      </c>
      <c r="C160" s="20" t="str">
        <f>IF(ISERROR(VLOOKUP($A160,通讯录!$A:$H,7,FALSE)&amp;""),"",VLOOKUP($A160,通讯录!$A:$H,7,FALSE)&amp;"")</f>
        <v/>
      </c>
      <c r="D160" s="20" t="str">
        <f>IF(ISERROR(VLOOKUP($A160,通讯录!$A:$H,5,FALSE)&amp;""),"",VLOOKUP($A160,通讯录!$A:$H,5,FALSE)&amp;"")</f>
        <v/>
      </c>
      <c r="E160" s="20" t="str">
        <f>IF(ISERROR(VLOOKUP($A160,通讯录!$A:$H,6,FALSE)&amp;""),"",VLOOKUP($A160,通讯录!$A:$H,6,FALSE)&amp;"")</f>
        <v/>
      </c>
      <c r="F160" s="20" t="str">
        <f>IF(ISERROR(VLOOKUP($A160,通讯录!$A:$H,4,FALSE)&amp;""),"",VLOOKUP($A160,通讯录!$A:$H,4,FALSE)&amp;"")</f>
        <v/>
      </c>
      <c r="G160" s="20" t="str">
        <f>IF(ISERROR(VLOOKUP($A160,通讯录!$A:$H,8,FALSE)&amp;""),"",VLOOKUP($A160,通讯录!$A:$H,8,FALSE)&amp;"")</f>
        <v/>
      </c>
      <c r="L160" s="21" t="str">
        <f t="shared" si="5"/>
        <v/>
      </c>
    </row>
    <row r="161" spans="2:12">
      <c r="B161" s="20" t="str">
        <f>IF(ISERROR(VLOOKUP($A161,通讯录!$A:$H,3,FALSE)&amp;""),"",VLOOKUP($A161,通讯录!$A:$H,3,FALSE)&amp;"")</f>
        <v/>
      </c>
      <c r="C161" s="20" t="str">
        <f>IF(ISERROR(VLOOKUP($A161,通讯录!$A:$H,7,FALSE)&amp;""),"",VLOOKUP($A161,通讯录!$A:$H,7,FALSE)&amp;"")</f>
        <v/>
      </c>
      <c r="D161" s="20" t="str">
        <f>IF(ISERROR(VLOOKUP($A161,通讯录!$A:$H,5,FALSE)&amp;""),"",VLOOKUP($A161,通讯录!$A:$H,5,FALSE)&amp;"")</f>
        <v/>
      </c>
      <c r="E161" s="20" t="str">
        <f>IF(ISERROR(VLOOKUP($A161,通讯录!$A:$H,6,FALSE)&amp;""),"",VLOOKUP($A161,通讯录!$A:$H,6,FALSE)&amp;"")</f>
        <v/>
      </c>
      <c r="F161" s="20" t="str">
        <f>IF(ISERROR(VLOOKUP($A161,通讯录!$A:$H,4,FALSE)&amp;""),"",VLOOKUP($A161,通讯录!$A:$H,4,FALSE)&amp;"")</f>
        <v/>
      </c>
      <c r="G161" s="20" t="str">
        <f>IF(ISERROR(VLOOKUP($A161,通讯录!$A:$H,8,FALSE)&amp;""),"",VLOOKUP($A161,通讯录!$A:$H,8,FALSE)&amp;"")</f>
        <v/>
      </c>
      <c r="L161" s="21" t="str">
        <f t="shared" si="5"/>
        <v/>
      </c>
    </row>
    <row r="162" spans="2:12">
      <c r="B162" s="20" t="str">
        <f>IF(ISERROR(VLOOKUP($A162,通讯录!$A:$H,3,FALSE)&amp;""),"",VLOOKUP($A162,通讯录!$A:$H,3,FALSE)&amp;"")</f>
        <v/>
      </c>
      <c r="C162" s="20" t="str">
        <f>IF(ISERROR(VLOOKUP($A162,通讯录!$A:$H,7,FALSE)&amp;""),"",VLOOKUP($A162,通讯录!$A:$H,7,FALSE)&amp;"")</f>
        <v/>
      </c>
      <c r="D162" s="20" t="str">
        <f>IF(ISERROR(VLOOKUP($A162,通讯录!$A:$H,5,FALSE)&amp;""),"",VLOOKUP($A162,通讯录!$A:$H,5,FALSE)&amp;"")</f>
        <v/>
      </c>
      <c r="E162" s="20" t="str">
        <f>IF(ISERROR(VLOOKUP($A162,通讯录!$A:$H,6,FALSE)&amp;""),"",VLOOKUP($A162,通讯录!$A:$H,6,FALSE)&amp;"")</f>
        <v/>
      </c>
      <c r="F162" s="20" t="str">
        <f>IF(ISERROR(VLOOKUP($A162,通讯录!$A:$H,4,FALSE)&amp;""),"",VLOOKUP($A162,通讯录!$A:$H,4,FALSE)&amp;"")</f>
        <v/>
      </c>
      <c r="G162" s="20" t="str">
        <f>IF(ISERROR(VLOOKUP($A162,通讯录!$A:$H,8,FALSE)&amp;""),"",VLOOKUP($A162,通讯录!$A:$H,8,FALSE)&amp;"")</f>
        <v/>
      </c>
      <c r="L162" s="21" t="str">
        <f t="shared" si="5"/>
        <v/>
      </c>
    </row>
    <row r="163" spans="2:12">
      <c r="B163" s="20" t="str">
        <f>IF(ISERROR(VLOOKUP($A163,通讯录!$A:$H,3,FALSE)&amp;""),"",VLOOKUP($A163,通讯录!$A:$H,3,FALSE)&amp;"")</f>
        <v/>
      </c>
      <c r="C163" s="20" t="str">
        <f>IF(ISERROR(VLOOKUP($A163,通讯录!$A:$H,7,FALSE)&amp;""),"",VLOOKUP($A163,通讯录!$A:$H,7,FALSE)&amp;"")</f>
        <v/>
      </c>
      <c r="D163" s="20" t="str">
        <f>IF(ISERROR(VLOOKUP($A163,通讯录!$A:$H,5,FALSE)&amp;""),"",VLOOKUP($A163,通讯录!$A:$H,5,FALSE)&amp;"")</f>
        <v/>
      </c>
      <c r="E163" s="20" t="str">
        <f>IF(ISERROR(VLOOKUP($A163,通讯录!$A:$H,6,FALSE)&amp;""),"",VLOOKUP($A163,通讯录!$A:$H,6,FALSE)&amp;"")</f>
        <v/>
      </c>
      <c r="F163" s="20" t="str">
        <f>IF(ISERROR(VLOOKUP($A163,通讯录!$A:$H,4,FALSE)&amp;""),"",VLOOKUP($A163,通讯录!$A:$H,4,FALSE)&amp;"")</f>
        <v/>
      </c>
      <c r="G163" s="20" t="str">
        <f>IF(ISERROR(VLOOKUP($A163,通讯录!$A:$H,8,FALSE)&amp;""),"",VLOOKUP($A163,通讯录!$A:$H,8,FALSE)&amp;"")</f>
        <v/>
      </c>
      <c r="L163" s="21" t="str">
        <f t="shared" si="5"/>
        <v/>
      </c>
    </row>
    <row r="164" spans="2:12">
      <c r="B164" s="20" t="str">
        <f>IF(ISERROR(VLOOKUP($A164,通讯录!$A:$H,3,FALSE)&amp;""),"",VLOOKUP($A164,通讯录!$A:$H,3,FALSE)&amp;"")</f>
        <v/>
      </c>
      <c r="C164" s="20" t="str">
        <f>IF(ISERROR(VLOOKUP($A164,通讯录!$A:$H,7,FALSE)&amp;""),"",VLOOKUP($A164,通讯录!$A:$H,7,FALSE)&amp;"")</f>
        <v/>
      </c>
      <c r="D164" s="20" t="str">
        <f>IF(ISERROR(VLOOKUP($A164,通讯录!$A:$H,5,FALSE)&amp;""),"",VLOOKUP($A164,通讯录!$A:$H,5,FALSE)&amp;"")</f>
        <v/>
      </c>
      <c r="E164" s="20" t="str">
        <f>IF(ISERROR(VLOOKUP($A164,通讯录!$A:$H,6,FALSE)&amp;""),"",VLOOKUP($A164,通讯录!$A:$H,6,FALSE)&amp;"")</f>
        <v/>
      </c>
      <c r="F164" s="20" t="str">
        <f>IF(ISERROR(VLOOKUP($A164,通讯录!$A:$H,4,FALSE)&amp;""),"",VLOOKUP($A164,通讯录!$A:$H,4,FALSE)&amp;"")</f>
        <v/>
      </c>
      <c r="G164" s="20" t="str">
        <f>IF(ISERROR(VLOOKUP($A164,通讯录!$A:$H,8,FALSE)&amp;""),"",VLOOKUP($A164,通讯录!$A:$H,8,FALSE)&amp;"")</f>
        <v/>
      </c>
      <c r="L164" s="21" t="str">
        <f t="shared" si="5"/>
        <v/>
      </c>
    </row>
    <row r="165" spans="2:12">
      <c r="B165" s="20" t="str">
        <f>IF(ISERROR(VLOOKUP($A165,通讯录!$A:$H,3,FALSE)&amp;""),"",VLOOKUP($A165,通讯录!$A:$H,3,FALSE)&amp;"")</f>
        <v/>
      </c>
      <c r="C165" s="20" t="str">
        <f>IF(ISERROR(VLOOKUP($A165,通讯录!$A:$H,7,FALSE)&amp;""),"",VLOOKUP($A165,通讯录!$A:$H,7,FALSE)&amp;"")</f>
        <v/>
      </c>
      <c r="D165" s="20" t="str">
        <f>IF(ISERROR(VLOOKUP($A165,通讯录!$A:$H,5,FALSE)&amp;""),"",VLOOKUP($A165,通讯录!$A:$H,5,FALSE)&amp;"")</f>
        <v/>
      </c>
      <c r="E165" s="20" t="str">
        <f>IF(ISERROR(VLOOKUP($A165,通讯录!$A:$H,6,FALSE)&amp;""),"",VLOOKUP($A165,通讯录!$A:$H,6,FALSE)&amp;"")</f>
        <v/>
      </c>
      <c r="F165" s="20" t="str">
        <f>IF(ISERROR(VLOOKUP($A165,通讯录!$A:$H,4,FALSE)&amp;""),"",VLOOKUP($A165,通讯录!$A:$H,4,FALSE)&amp;"")</f>
        <v/>
      </c>
      <c r="G165" s="20" t="str">
        <f>IF(ISERROR(VLOOKUP($A165,通讯录!$A:$H,8,FALSE)&amp;""),"",VLOOKUP($A165,通讯录!$A:$H,8,FALSE)&amp;"")</f>
        <v/>
      </c>
      <c r="L165" s="21" t="str">
        <f t="shared" si="5"/>
        <v/>
      </c>
    </row>
    <row r="166" spans="2:12">
      <c r="B166" s="20" t="str">
        <f>IF(ISERROR(VLOOKUP($A166,通讯录!$A:$H,3,FALSE)&amp;""),"",VLOOKUP($A166,通讯录!$A:$H,3,FALSE)&amp;"")</f>
        <v/>
      </c>
      <c r="C166" s="20" t="str">
        <f>IF(ISERROR(VLOOKUP($A166,通讯录!$A:$H,7,FALSE)&amp;""),"",VLOOKUP($A166,通讯录!$A:$H,7,FALSE)&amp;"")</f>
        <v/>
      </c>
      <c r="D166" s="20" t="str">
        <f>IF(ISERROR(VLOOKUP($A166,通讯录!$A:$H,5,FALSE)&amp;""),"",VLOOKUP($A166,通讯录!$A:$H,5,FALSE)&amp;"")</f>
        <v/>
      </c>
      <c r="E166" s="20" t="str">
        <f>IF(ISERROR(VLOOKUP($A166,通讯录!$A:$H,6,FALSE)&amp;""),"",VLOOKUP($A166,通讯录!$A:$H,6,FALSE)&amp;"")</f>
        <v/>
      </c>
      <c r="F166" s="20" t="str">
        <f>IF(ISERROR(VLOOKUP($A166,通讯录!$A:$H,4,FALSE)&amp;""),"",VLOOKUP($A166,通讯录!$A:$H,4,FALSE)&amp;"")</f>
        <v/>
      </c>
      <c r="G166" s="20" t="str">
        <f>IF(ISERROR(VLOOKUP($A166,通讯录!$A:$H,8,FALSE)&amp;""),"",VLOOKUP($A166,通讯录!$A:$H,8,FALSE)&amp;"")</f>
        <v/>
      </c>
      <c r="L166" s="21" t="str">
        <f t="shared" si="5"/>
        <v/>
      </c>
    </row>
    <row r="167" spans="2:12">
      <c r="B167" s="20" t="str">
        <f>IF(ISERROR(VLOOKUP($A167,通讯录!$A:$H,3,FALSE)&amp;""),"",VLOOKUP($A167,通讯录!$A:$H,3,FALSE)&amp;"")</f>
        <v/>
      </c>
      <c r="C167" s="20" t="str">
        <f>IF(ISERROR(VLOOKUP($A167,通讯录!$A:$H,7,FALSE)&amp;""),"",VLOOKUP($A167,通讯录!$A:$H,7,FALSE)&amp;"")</f>
        <v/>
      </c>
      <c r="D167" s="20" t="str">
        <f>IF(ISERROR(VLOOKUP($A167,通讯录!$A:$H,5,FALSE)&amp;""),"",VLOOKUP($A167,通讯录!$A:$H,5,FALSE)&amp;"")</f>
        <v/>
      </c>
      <c r="E167" s="20" t="str">
        <f>IF(ISERROR(VLOOKUP($A167,通讯录!$A:$H,6,FALSE)&amp;""),"",VLOOKUP($A167,通讯录!$A:$H,6,FALSE)&amp;"")</f>
        <v/>
      </c>
      <c r="F167" s="20" t="str">
        <f>IF(ISERROR(VLOOKUP($A167,通讯录!$A:$H,4,FALSE)&amp;""),"",VLOOKUP($A167,通讯录!$A:$H,4,FALSE)&amp;"")</f>
        <v/>
      </c>
      <c r="G167" s="20" t="str">
        <f>IF(ISERROR(VLOOKUP($A167,通讯录!$A:$H,8,FALSE)&amp;""),"",VLOOKUP($A167,通讯录!$A:$H,8,FALSE)&amp;"")</f>
        <v/>
      </c>
      <c r="L167" s="21" t="str">
        <f t="shared" ref="L167:L230" si="6">LEFT(A167,1)</f>
        <v/>
      </c>
    </row>
    <row r="168" spans="2:12">
      <c r="B168" s="20" t="str">
        <f>IF(ISERROR(VLOOKUP($A168,通讯录!$A:$H,3,FALSE)&amp;""),"",VLOOKUP($A168,通讯录!$A:$H,3,FALSE)&amp;"")</f>
        <v/>
      </c>
      <c r="C168" s="20" t="str">
        <f>IF(ISERROR(VLOOKUP($A168,通讯录!$A:$H,7,FALSE)&amp;""),"",VLOOKUP($A168,通讯录!$A:$H,7,FALSE)&amp;"")</f>
        <v/>
      </c>
      <c r="D168" s="20" t="str">
        <f>IF(ISERROR(VLOOKUP($A168,通讯录!$A:$H,5,FALSE)&amp;""),"",VLOOKUP($A168,通讯录!$A:$H,5,FALSE)&amp;"")</f>
        <v/>
      </c>
      <c r="E168" s="20" t="str">
        <f>IF(ISERROR(VLOOKUP($A168,通讯录!$A:$H,6,FALSE)&amp;""),"",VLOOKUP($A168,通讯录!$A:$H,6,FALSE)&amp;"")</f>
        <v/>
      </c>
      <c r="F168" s="20" t="str">
        <f>IF(ISERROR(VLOOKUP($A168,通讯录!$A:$H,4,FALSE)&amp;""),"",VLOOKUP($A168,通讯录!$A:$H,4,FALSE)&amp;"")</f>
        <v/>
      </c>
      <c r="G168" s="20" t="str">
        <f>IF(ISERROR(VLOOKUP($A168,通讯录!$A:$H,8,FALSE)&amp;""),"",VLOOKUP($A168,通讯录!$A:$H,8,FALSE)&amp;"")</f>
        <v/>
      </c>
      <c r="L168" s="21" t="str">
        <f t="shared" si="6"/>
        <v/>
      </c>
    </row>
    <row r="169" spans="2:12">
      <c r="B169" s="20" t="str">
        <f>IF(ISERROR(VLOOKUP($A169,通讯录!$A:$H,3,FALSE)&amp;""),"",VLOOKUP($A169,通讯录!$A:$H,3,FALSE)&amp;"")</f>
        <v/>
      </c>
      <c r="C169" s="20" t="str">
        <f>IF(ISERROR(VLOOKUP($A169,通讯录!$A:$H,7,FALSE)&amp;""),"",VLOOKUP($A169,通讯录!$A:$H,7,FALSE)&amp;"")</f>
        <v/>
      </c>
      <c r="D169" s="20" t="str">
        <f>IF(ISERROR(VLOOKUP($A169,通讯录!$A:$H,5,FALSE)&amp;""),"",VLOOKUP($A169,通讯录!$A:$H,5,FALSE)&amp;"")</f>
        <v/>
      </c>
      <c r="E169" s="20" t="str">
        <f>IF(ISERROR(VLOOKUP($A169,通讯录!$A:$H,6,FALSE)&amp;""),"",VLOOKUP($A169,通讯录!$A:$H,6,FALSE)&amp;"")</f>
        <v/>
      </c>
      <c r="F169" s="20" t="str">
        <f>IF(ISERROR(VLOOKUP($A169,通讯录!$A:$H,4,FALSE)&amp;""),"",VLOOKUP($A169,通讯录!$A:$H,4,FALSE)&amp;"")</f>
        <v/>
      </c>
      <c r="G169" s="20" t="str">
        <f>IF(ISERROR(VLOOKUP($A169,通讯录!$A:$H,8,FALSE)&amp;""),"",VLOOKUP($A169,通讯录!$A:$H,8,FALSE)&amp;"")</f>
        <v/>
      </c>
      <c r="L169" s="21" t="str">
        <f t="shared" si="6"/>
        <v/>
      </c>
    </row>
    <row r="170" spans="2:12">
      <c r="B170" s="20" t="str">
        <f>IF(ISERROR(VLOOKUP($A170,通讯录!$A:$H,3,FALSE)&amp;""),"",VLOOKUP($A170,通讯录!$A:$H,3,FALSE)&amp;"")</f>
        <v/>
      </c>
      <c r="C170" s="20" t="str">
        <f>IF(ISERROR(VLOOKUP($A170,通讯录!$A:$H,7,FALSE)&amp;""),"",VLOOKUP($A170,通讯录!$A:$H,7,FALSE)&amp;"")</f>
        <v/>
      </c>
      <c r="D170" s="20" t="str">
        <f>IF(ISERROR(VLOOKUP($A170,通讯录!$A:$H,5,FALSE)&amp;""),"",VLOOKUP($A170,通讯录!$A:$H,5,FALSE)&amp;"")</f>
        <v/>
      </c>
      <c r="E170" s="20" t="str">
        <f>IF(ISERROR(VLOOKUP($A170,通讯录!$A:$H,6,FALSE)&amp;""),"",VLOOKUP($A170,通讯录!$A:$H,6,FALSE)&amp;"")</f>
        <v/>
      </c>
      <c r="F170" s="20" t="str">
        <f>IF(ISERROR(VLOOKUP($A170,通讯录!$A:$H,4,FALSE)&amp;""),"",VLOOKUP($A170,通讯录!$A:$H,4,FALSE)&amp;"")</f>
        <v/>
      </c>
      <c r="G170" s="20" t="str">
        <f>IF(ISERROR(VLOOKUP($A170,通讯录!$A:$H,8,FALSE)&amp;""),"",VLOOKUP($A170,通讯录!$A:$H,8,FALSE)&amp;"")</f>
        <v/>
      </c>
      <c r="L170" s="21" t="str">
        <f t="shared" si="6"/>
        <v/>
      </c>
    </row>
    <row r="171" spans="2:12">
      <c r="B171" s="20" t="str">
        <f>IF(ISERROR(VLOOKUP($A171,通讯录!$A:$H,3,FALSE)&amp;""),"",VLOOKUP($A171,通讯录!$A:$H,3,FALSE)&amp;"")</f>
        <v/>
      </c>
      <c r="C171" s="20" t="str">
        <f>IF(ISERROR(VLOOKUP($A171,通讯录!$A:$H,7,FALSE)&amp;""),"",VLOOKUP($A171,通讯录!$A:$H,7,FALSE)&amp;"")</f>
        <v/>
      </c>
      <c r="D171" s="20" t="str">
        <f>IF(ISERROR(VLOOKUP($A171,通讯录!$A:$H,5,FALSE)&amp;""),"",VLOOKUP($A171,通讯录!$A:$H,5,FALSE)&amp;"")</f>
        <v/>
      </c>
      <c r="E171" s="20" t="str">
        <f>IF(ISERROR(VLOOKUP($A171,通讯录!$A:$H,6,FALSE)&amp;""),"",VLOOKUP($A171,通讯录!$A:$H,6,FALSE)&amp;"")</f>
        <v/>
      </c>
      <c r="F171" s="20" t="str">
        <f>IF(ISERROR(VLOOKUP($A171,通讯录!$A:$H,4,FALSE)&amp;""),"",VLOOKUP($A171,通讯录!$A:$H,4,FALSE)&amp;"")</f>
        <v/>
      </c>
      <c r="G171" s="20" t="str">
        <f>IF(ISERROR(VLOOKUP($A171,通讯录!$A:$H,8,FALSE)&amp;""),"",VLOOKUP($A171,通讯录!$A:$H,8,FALSE)&amp;"")</f>
        <v/>
      </c>
      <c r="L171" s="21" t="str">
        <f t="shared" si="6"/>
        <v/>
      </c>
    </row>
    <row r="172" spans="2:12">
      <c r="B172" s="20" t="str">
        <f>IF(ISERROR(VLOOKUP($A172,通讯录!$A:$H,3,FALSE)&amp;""),"",VLOOKUP($A172,通讯录!$A:$H,3,FALSE)&amp;"")</f>
        <v/>
      </c>
      <c r="C172" s="20" t="str">
        <f>IF(ISERROR(VLOOKUP($A172,通讯录!$A:$H,7,FALSE)&amp;""),"",VLOOKUP($A172,通讯录!$A:$H,7,FALSE)&amp;"")</f>
        <v/>
      </c>
      <c r="D172" s="20" t="str">
        <f>IF(ISERROR(VLOOKUP($A172,通讯录!$A:$H,5,FALSE)&amp;""),"",VLOOKUP($A172,通讯录!$A:$H,5,FALSE)&amp;"")</f>
        <v/>
      </c>
      <c r="E172" s="20" t="str">
        <f>IF(ISERROR(VLOOKUP($A172,通讯录!$A:$H,6,FALSE)&amp;""),"",VLOOKUP($A172,通讯录!$A:$H,6,FALSE)&amp;"")</f>
        <v/>
      </c>
      <c r="F172" s="20" t="str">
        <f>IF(ISERROR(VLOOKUP($A172,通讯录!$A:$H,4,FALSE)&amp;""),"",VLOOKUP($A172,通讯录!$A:$H,4,FALSE)&amp;"")</f>
        <v/>
      </c>
      <c r="G172" s="20" t="str">
        <f>IF(ISERROR(VLOOKUP($A172,通讯录!$A:$H,8,FALSE)&amp;""),"",VLOOKUP($A172,通讯录!$A:$H,8,FALSE)&amp;"")</f>
        <v/>
      </c>
      <c r="L172" s="21" t="str">
        <f t="shared" si="6"/>
        <v/>
      </c>
    </row>
    <row r="173" spans="2:12">
      <c r="B173" s="20" t="str">
        <f>IF(ISERROR(VLOOKUP($A173,通讯录!$A:$H,3,FALSE)&amp;""),"",VLOOKUP($A173,通讯录!$A:$H,3,FALSE)&amp;"")</f>
        <v/>
      </c>
      <c r="C173" s="20" t="str">
        <f>IF(ISERROR(VLOOKUP($A173,通讯录!$A:$H,7,FALSE)&amp;""),"",VLOOKUP($A173,通讯录!$A:$H,7,FALSE)&amp;"")</f>
        <v/>
      </c>
      <c r="D173" s="20" t="str">
        <f>IF(ISERROR(VLOOKUP($A173,通讯录!$A:$H,5,FALSE)&amp;""),"",VLOOKUP($A173,通讯录!$A:$H,5,FALSE)&amp;"")</f>
        <v/>
      </c>
      <c r="E173" s="20" t="str">
        <f>IF(ISERROR(VLOOKUP($A173,通讯录!$A:$H,6,FALSE)&amp;""),"",VLOOKUP($A173,通讯录!$A:$H,6,FALSE)&amp;"")</f>
        <v/>
      </c>
      <c r="F173" s="20" t="str">
        <f>IF(ISERROR(VLOOKUP($A173,通讯录!$A:$H,4,FALSE)&amp;""),"",VLOOKUP($A173,通讯录!$A:$H,4,FALSE)&amp;"")</f>
        <v/>
      </c>
      <c r="G173" s="20" t="str">
        <f>IF(ISERROR(VLOOKUP($A173,通讯录!$A:$H,8,FALSE)&amp;""),"",VLOOKUP($A173,通讯录!$A:$H,8,FALSE)&amp;"")</f>
        <v/>
      </c>
      <c r="L173" s="21" t="str">
        <f t="shared" si="6"/>
        <v/>
      </c>
    </row>
    <row r="174" spans="3:12">
      <c r="C174" s="30"/>
      <c r="D174" s="31"/>
      <c r="L174" s="21" t="str">
        <f t="shared" si="6"/>
        <v/>
      </c>
    </row>
    <row r="175" spans="3:12">
      <c r="C175" s="30"/>
      <c r="D175" s="31"/>
      <c r="L175" s="21" t="str">
        <f t="shared" si="6"/>
        <v/>
      </c>
    </row>
    <row r="176" spans="3:12">
      <c r="C176" s="30"/>
      <c r="D176" s="31"/>
      <c r="L176" s="21" t="str">
        <f t="shared" si="6"/>
        <v/>
      </c>
    </row>
    <row r="177" spans="3:12">
      <c r="C177" s="30"/>
      <c r="D177" s="31"/>
      <c r="L177" s="21" t="str">
        <f t="shared" si="6"/>
        <v/>
      </c>
    </row>
    <row r="178" spans="3:12">
      <c r="C178" s="30"/>
      <c r="D178" s="31"/>
      <c r="L178" s="21" t="str">
        <f t="shared" si="6"/>
        <v/>
      </c>
    </row>
    <row r="179" spans="3:12">
      <c r="C179" s="30"/>
      <c r="D179" s="31"/>
      <c r="L179" s="21" t="str">
        <f t="shared" si="6"/>
        <v/>
      </c>
    </row>
    <row r="180" spans="3:12">
      <c r="C180" s="30"/>
      <c r="D180" s="31"/>
      <c r="L180" s="21" t="str">
        <f t="shared" si="6"/>
        <v/>
      </c>
    </row>
    <row r="181" spans="3:12">
      <c r="C181" s="30"/>
      <c r="D181" s="31"/>
      <c r="L181" s="21" t="str">
        <f t="shared" si="6"/>
        <v/>
      </c>
    </row>
    <row r="182" spans="3:12">
      <c r="C182" s="30"/>
      <c r="D182" s="31"/>
      <c r="L182" s="21" t="str">
        <f t="shared" si="6"/>
        <v/>
      </c>
    </row>
    <row r="183" spans="3:12">
      <c r="C183" s="30"/>
      <c r="D183" s="31"/>
      <c r="L183" s="21" t="str">
        <f t="shared" si="6"/>
        <v/>
      </c>
    </row>
    <row r="184" spans="3:12">
      <c r="C184" s="30"/>
      <c r="D184" s="31"/>
      <c r="L184" s="21" t="str">
        <f t="shared" si="6"/>
        <v/>
      </c>
    </row>
    <row r="185" spans="3:12">
      <c r="C185" s="30"/>
      <c r="D185" s="31"/>
      <c r="L185" s="21" t="str">
        <f t="shared" si="6"/>
        <v/>
      </c>
    </row>
    <row r="186" spans="3:12">
      <c r="C186" s="30"/>
      <c r="D186" s="31"/>
      <c r="L186" s="21" t="str">
        <f t="shared" si="6"/>
        <v/>
      </c>
    </row>
    <row r="187" spans="3:12">
      <c r="C187" s="30"/>
      <c r="D187" s="31"/>
      <c r="L187" s="21" t="str">
        <f t="shared" si="6"/>
        <v/>
      </c>
    </row>
    <row r="188" spans="3:12">
      <c r="C188" s="30"/>
      <c r="D188" s="31"/>
      <c r="L188" s="21" t="str">
        <f t="shared" si="6"/>
        <v/>
      </c>
    </row>
    <row r="189" spans="3:12">
      <c r="C189" s="30"/>
      <c r="D189" s="31"/>
      <c r="L189" s="21" t="str">
        <f t="shared" si="6"/>
        <v/>
      </c>
    </row>
    <row r="190" spans="3:12">
      <c r="C190" s="30"/>
      <c r="D190" s="31"/>
      <c r="L190" s="21" t="str">
        <f t="shared" si="6"/>
        <v/>
      </c>
    </row>
    <row r="191" spans="3:12">
      <c r="C191" s="30"/>
      <c r="D191" s="31"/>
      <c r="L191" s="21" t="str">
        <f t="shared" si="6"/>
        <v/>
      </c>
    </row>
    <row r="192" spans="3:12">
      <c r="C192" s="30"/>
      <c r="D192" s="31"/>
      <c r="L192" s="21" t="str">
        <f t="shared" si="6"/>
        <v/>
      </c>
    </row>
    <row r="193" spans="3:12">
      <c r="C193" s="30"/>
      <c r="D193" s="31"/>
      <c r="L193" s="21" t="str">
        <f t="shared" si="6"/>
        <v/>
      </c>
    </row>
    <row r="194" spans="3:12">
      <c r="C194" s="30"/>
      <c r="D194" s="31"/>
      <c r="L194" s="21" t="str">
        <f t="shared" si="6"/>
        <v/>
      </c>
    </row>
    <row r="195" spans="3:12">
      <c r="C195" s="30"/>
      <c r="D195" s="31"/>
      <c r="L195" s="21" t="str">
        <f t="shared" si="6"/>
        <v/>
      </c>
    </row>
    <row r="196" spans="3:12">
      <c r="C196" s="30"/>
      <c r="D196" s="31"/>
      <c r="L196" s="21" t="str">
        <f t="shared" si="6"/>
        <v/>
      </c>
    </row>
    <row r="197" spans="3:12">
      <c r="C197" s="30"/>
      <c r="D197" s="31"/>
      <c r="L197" s="21" t="str">
        <f t="shared" si="6"/>
        <v/>
      </c>
    </row>
    <row r="198" spans="3:12">
      <c r="C198" s="30"/>
      <c r="D198" s="31"/>
      <c r="L198" s="21" t="str">
        <f t="shared" si="6"/>
        <v/>
      </c>
    </row>
    <row r="199" spans="3:12">
      <c r="C199" s="30"/>
      <c r="D199" s="31"/>
      <c r="L199" s="21" t="str">
        <f t="shared" si="6"/>
        <v/>
      </c>
    </row>
    <row r="200" spans="3:12">
      <c r="C200" s="30"/>
      <c r="D200" s="31"/>
      <c r="L200" s="21" t="str">
        <f t="shared" si="6"/>
        <v/>
      </c>
    </row>
    <row r="201" spans="3:12">
      <c r="C201" s="30"/>
      <c r="D201" s="31"/>
      <c r="L201" s="21" t="str">
        <f t="shared" si="6"/>
        <v/>
      </c>
    </row>
    <row r="202" spans="3:12">
      <c r="C202" s="30"/>
      <c r="D202" s="31"/>
      <c r="L202" s="21" t="str">
        <f t="shared" si="6"/>
        <v/>
      </c>
    </row>
    <row r="203" spans="3:12">
      <c r="C203" s="30"/>
      <c r="D203" s="31"/>
      <c r="L203" s="21" t="str">
        <f t="shared" si="6"/>
        <v/>
      </c>
    </row>
    <row r="204" spans="3:12">
      <c r="C204" s="30"/>
      <c r="D204" s="31"/>
      <c r="L204" s="21" t="str">
        <f t="shared" si="6"/>
        <v/>
      </c>
    </row>
    <row r="205" spans="3:12">
      <c r="C205" s="30"/>
      <c r="D205" s="31"/>
      <c r="L205" s="21" t="str">
        <f t="shared" si="6"/>
        <v/>
      </c>
    </row>
    <row r="206" spans="3:12">
      <c r="C206" s="30"/>
      <c r="D206" s="31"/>
      <c r="L206" s="21" t="str">
        <f t="shared" si="6"/>
        <v/>
      </c>
    </row>
    <row r="207" spans="3:12">
      <c r="C207" s="30"/>
      <c r="D207" s="31"/>
      <c r="L207" s="21" t="str">
        <f t="shared" si="6"/>
        <v/>
      </c>
    </row>
    <row r="208" spans="3:12">
      <c r="C208" s="30"/>
      <c r="D208" s="31"/>
      <c r="L208" s="21" t="str">
        <f t="shared" si="6"/>
        <v/>
      </c>
    </row>
    <row r="209" spans="3:12">
      <c r="C209" s="30"/>
      <c r="D209" s="31"/>
      <c r="L209" s="21" t="str">
        <f t="shared" si="6"/>
        <v/>
      </c>
    </row>
    <row r="210" spans="3:12">
      <c r="C210" s="30"/>
      <c r="D210" s="31"/>
      <c r="L210" s="21" t="str">
        <f t="shared" si="6"/>
        <v/>
      </c>
    </row>
    <row r="211" spans="3:12">
      <c r="C211" s="30"/>
      <c r="D211" s="31"/>
      <c r="L211" s="21" t="str">
        <f t="shared" si="6"/>
        <v/>
      </c>
    </row>
    <row r="212" spans="3:12">
      <c r="C212" s="30"/>
      <c r="D212" s="31"/>
      <c r="L212" s="21" t="str">
        <f t="shared" si="6"/>
        <v/>
      </c>
    </row>
    <row r="213" spans="3:12">
      <c r="C213" s="30"/>
      <c r="D213" s="31"/>
      <c r="L213" s="21" t="str">
        <f t="shared" si="6"/>
        <v/>
      </c>
    </row>
    <row r="214" spans="3:12">
      <c r="C214" s="30"/>
      <c r="D214" s="31"/>
      <c r="L214" s="21" t="str">
        <f t="shared" si="6"/>
        <v/>
      </c>
    </row>
    <row r="215" spans="3:12">
      <c r="C215" s="30"/>
      <c r="D215" s="31"/>
      <c r="L215" s="21" t="str">
        <f t="shared" si="6"/>
        <v/>
      </c>
    </row>
    <row r="216" spans="3:12">
      <c r="C216" s="30"/>
      <c r="D216" s="31"/>
      <c r="L216" s="21" t="str">
        <f t="shared" si="6"/>
        <v/>
      </c>
    </row>
    <row r="217" spans="3:12">
      <c r="C217" s="30"/>
      <c r="D217" s="31"/>
      <c r="L217" s="21" t="str">
        <f t="shared" si="6"/>
        <v/>
      </c>
    </row>
    <row r="218" spans="3:12">
      <c r="C218" s="30"/>
      <c r="D218" s="31"/>
      <c r="L218" s="21" t="str">
        <f t="shared" si="6"/>
        <v/>
      </c>
    </row>
    <row r="219" spans="3:12">
      <c r="C219" s="30"/>
      <c r="D219" s="31"/>
      <c r="L219" s="21" t="str">
        <f t="shared" si="6"/>
        <v/>
      </c>
    </row>
    <row r="220" spans="3:12">
      <c r="C220" s="30"/>
      <c r="D220" s="31"/>
      <c r="L220" s="21" t="str">
        <f t="shared" si="6"/>
        <v/>
      </c>
    </row>
    <row r="221" spans="3:12">
      <c r="C221" s="30"/>
      <c r="D221" s="31"/>
      <c r="L221" s="21" t="str">
        <f t="shared" si="6"/>
        <v/>
      </c>
    </row>
    <row r="222" spans="3:12">
      <c r="C222" s="30"/>
      <c r="D222" s="31"/>
      <c r="L222" s="21" t="str">
        <f t="shared" si="6"/>
        <v/>
      </c>
    </row>
    <row r="223" spans="3:12">
      <c r="C223" s="30"/>
      <c r="D223" s="31"/>
      <c r="L223" s="21" t="str">
        <f t="shared" si="6"/>
        <v/>
      </c>
    </row>
    <row r="224" spans="3:12">
      <c r="C224" s="30"/>
      <c r="D224" s="31"/>
      <c r="L224" s="21" t="str">
        <f t="shared" si="6"/>
        <v/>
      </c>
    </row>
    <row r="225" spans="3:12">
      <c r="C225" s="30"/>
      <c r="D225" s="31"/>
      <c r="L225" s="21" t="str">
        <f t="shared" si="6"/>
        <v/>
      </c>
    </row>
    <row r="226" spans="3:12">
      <c r="C226" s="30"/>
      <c r="D226" s="31"/>
      <c r="L226" s="21" t="str">
        <f t="shared" si="6"/>
        <v/>
      </c>
    </row>
    <row r="227" spans="3:12">
      <c r="C227" s="30"/>
      <c r="D227" s="31"/>
      <c r="L227" s="21" t="str">
        <f t="shared" si="6"/>
        <v/>
      </c>
    </row>
    <row r="228" spans="3:12">
      <c r="C228" s="30"/>
      <c r="D228" s="31"/>
      <c r="L228" s="21" t="str">
        <f t="shared" si="6"/>
        <v/>
      </c>
    </row>
    <row r="229" spans="3:12">
      <c r="C229" s="30"/>
      <c r="D229" s="31"/>
      <c r="L229" s="21" t="str">
        <f t="shared" si="6"/>
        <v/>
      </c>
    </row>
    <row r="230" spans="3:12">
      <c r="C230" s="30"/>
      <c r="D230" s="31"/>
      <c r="L230" s="21" t="str">
        <f t="shared" si="6"/>
        <v/>
      </c>
    </row>
    <row r="231" spans="3:12">
      <c r="C231" s="30"/>
      <c r="D231" s="31"/>
      <c r="L231" s="21" t="str">
        <f t="shared" ref="L231:L294" si="7">LEFT(A231,1)</f>
        <v/>
      </c>
    </row>
    <row r="232" spans="3:12">
      <c r="C232" s="30"/>
      <c r="D232" s="31"/>
      <c r="L232" s="21" t="str">
        <f t="shared" si="7"/>
        <v/>
      </c>
    </row>
    <row r="233" spans="3:12">
      <c r="C233" s="30"/>
      <c r="D233" s="31"/>
      <c r="L233" s="21" t="str">
        <f t="shared" si="7"/>
        <v/>
      </c>
    </row>
    <row r="234" spans="3:12">
      <c r="C234" s="30"/>
      <c r="D234" s="31"/>
      <c r="L234" s="21" t="str">
        <f t="shared" si="7"/>
        <v/>
      </c>
    </row>
    <row r="235" spans="3:12">
      <c r="C235" s="30"/>
      <c r="D235" s="31"/>
      <c r="L235" s="21" t="str">
        <f t="shared" si="7"/>
        <v/>
      </c>
    </row>
    <row r="236" spans="3:12">
      <c r="C236" s="30"/>
      <c r="D236" s="31"/>
      <c r="L236" s="21" t="str">
        <f t="shared" si="7"/>
        <v/>
      </c>
    </row>
    <row r="237" spans="3:12">
      <c r="C237" s="30"/>
      <c r="D237" s="31"/>
      <c r="L237" s="21" t="str">
        <f t="shared" si="7"/>
        <v/>
      </c>
    </row>
    <row r="238" spans="3:12">
      <c r="C238" s="30"/>
      <c r="D238" s="31"/>
      <c r="L238" s="21" t="str">
        <f t="shared" si="7"/>
        <v/>
      </c>
    </row>
    <row r="239" spans="3:12">
      <c r="C239" s="30"/>
      <c r="D239" s="31"/>
      <c r="L239" s="21" t="str">
        <f t="shared" si="7"/>
        <v/>
      </c>
    </row>
    <row r="240" spans="3:12">
      <c r="C240" s="30"/>
      <c r="D240" s="31"/>
      <c r="L240" s="21" t="str">
        <f t="shared" si="7"/>
        <v/>
      </c>
    </row>
    <row r="241" spans="3:12">
      <c r="C241" s="30"/>
      <c r="D241" s="31"/>
      <c r="L241" s="21" t="str">
        <f t="shared" si="7"/>
        <v/>
      </c>
    </row>
    <row r="242" spans="3:12">
      <c r="C242" s="30"/>
      <c r="D242" s="31"/>
      <c r="L242" s="21" t="str">
        <f t="shared" si="7"/>
        <v/>
      </c>
    </row>
    <row r="243" spans="3:12">
      <c r="C243" s="30"/>
      <c r="D243" s="31"/>
      <c r="L243" s="21" t="str">
        <f t="shared" si="7"/>
        <v/>
      </c>
    </row>
    <row r="244" spans="3:12">
      <c r="C244" s="30"/>
      <c r="D244" s="31"/>
      <c r="L244" s="21" t="str">
        <f t="shared" si="7"/>
        <v/>
      </c>
    </row>
    <row r="245" spans="3:12">
      <c r="C245" s="30"/>
      <c r="D245" s="31"/>
      <c r="L245" s="21" t="str">
        <f t="shared" si="7"/>
        <v/>
      </c>
    </row>
    <row r="246" spans="3:12">
      <c r="C246" s="30"/>
      <c r="D246" s="31"/>
      <c r="L246" s="21" t="str">
        <f t="shared" si="7"/>
        <v/>
      </c>
    </row>
    <row r="247" spans="3:12">
      <c r="C247" s="30"/>
      <c r="D247" s="31"/>
      <c r="L247" s="21" t="str">
        <f t="shared" si="7"/>
        <v/>
      </c>
    </row>
    <row r="248" spans="3:12">
      <c r="C248" s="30"/>
      <c r="D248" s="31"/>
      <c r="L248" s="21" t="str">
        <f t="shared" si="7"/>
        <v/>
      </c>
    </row>
    <row r="249" spans="3:12">
      <c r="C249" s="30"/>
      <c r="D249" s="31"/>
      <c r="L249" s="21" t="str">
        <f t="shared" si="7"/>
        <v/>
      </c>
    </row>
    <row r="250" spans="3:12">
      <c r="C250" s="30"/>
      <c r="D250" s="31"/>
      <c r="L250" s="21" t="str">
        <f t="shared" si="7"/>
        <v/>
      </c>
    </row>
    <row r="251" spans="3:12">
      <c r="C251" s="30"/>
      <c r="D251" s="31"/>
      <c r="L251" s="21" t="str">
        <f t="shared" si="7"/>
        <v/>
      </c>
    </row>
    <row r="252" spans="3:12">
      <c r="C252" s="30"/>
      <c r="D252" s="31"/>
      <c r="L252" s="21" t="str">
        <f t="shared" si="7"/>
        <v/>
      </c>
    </row>
    <row r="253" spans="3:12">
      <c r="C253" s="30"/>
      <c r="D253" s="31"/>
      <c r="L253" s="21" t="str">
        <f t="shared" si="7"/>
        <v/>
      </c>
    </row>
    <row r="254" spans="3:12">
      <c r="C254" s="30"/>
      <c r="D254" s="31"/>
      <c r="L254" s="21" t="str">
        <f t="shared" si="7"/>
        <v/>
      </c>
    </row>
    <row r="255" spans="3:12">
      <c r="C255" s="30"/>
      <c r="D255" s="31"/>
      <c r="L255" s="21" t="str">
        <f t="shared" si="7"/>
        <v/>
      </c>
    </row>
    <row r="256" spans="3:12">
      <c r="C256" s="30"/>
      <c r="D256" s="31"/>
      <c r="L256" s="21" t="str">
        <f t="shared" si="7"/>
        <v/>
      </c>
    </row>
    <row r="257" spans="3:12">
      <c r="C257" s="30"/>
      <c r="D257" s="31"/>
      <c r="L257" s="21" t="str">
        <f t="shared" si="7"/>
        <v/>
      </c>
    </row>
    <row r="258" spans="3:12">
      <c r="C258" s="30"/>
      <c r="D258" s="31"/>
      <c r="L258" s="21" t="str">
        <f t="shared" si="7"/>
        <v/>
      </c>
    </row>
    <row r="259" spans="3:12">
      <c r="C259" s="30"/>
      <c r="D259" s="31"/>
      <c r="L259" s="21" t="str">
        <f t="shared" si="7"/>
        <v/>
      </c>
    </row>
    <row r="260" spans="3:12">
      <c r="C260" s="30"/>
      <c r="D260" s="31"/>
      <c r="L260" s="21" t="str">
        <f t="shared" si="7"/>
        <v/>
      </c>
    </row>
    <row r="261" spans="3:12">
      <c r="C261" s="30"/>
      <c r="D261" s="31"/>
      <c r="L261" s="21" t="str">
        <f t="shared" si="7"/>
        <v/>
      </c>
    </row>
    <row r="262" spans="3:12">
      <c r="C262" s="30"/>
      <c r="D262" s="31"/>
      <c r="L262" s="21" t="str">
        <f t="shared" si="7"/>
        <v/>
      </c>
    </row>
    <row r="263" spans="3:12">
      <c r="C263" s="30"/>
      <c r="D263" s="31"/>
      <c r="L263" s="21" t="str">
        <f t="shared" si="7"/>
        <v/>
      </c>
    </row>
    <row r="264" spans="3:12">
      <c r="C264" s="30"/>
      <c r="D264" s="31"/>
      <c r="L264" s="21" t="str">
        <f t="shared" si="7"/>
        <v/>
      </c>
    </row>
    <row r="265" spans="3:12">
      <c r="C265" s="30"/>
      <c r="D265" s="31"/>
      <c r="L265" s="21" t="str">
        <f t="shared" si="7"/>
        <v/>
      </c>
    </row>
    <row r="266" spans="3:12">
      <c r="C266" s="30"/>
      <c r="D266" s="31"/>
      <c r="L266" s="21" t="str">
        <f t="shared" si="7"/>
        <v/>
      </c>
    </row>
    <row r="267" spans="3:12">
      <c r="C267" s="30"/>
      <c r="D267" s="31"/>
      <c r="L267" s="21" t="str">
        <f t="shared" si="7"/>
        <v/>
      </c>
    </row>
    <row r="268" spans="3:12">
      <c r="C268" s="30"/>
      <c r="D268" s="31"/>
      <c r="L268" s="21" t="str">
        <f t="shared" si="7"/>
        <v/>
      </c>
    </row>
    <row r="269" spans="3:12">
      <c r="C269" s="30"/>
      <c r="D269" s="31"/>
      <c r="L269" s="21" t="str">
        <f t="shared" si="7"/>
        <v/>
      </c>
    </row>
    <row r="270" spans="3:12">
      <c r="C270" s="30"/>
      <c r="D270" s="31"/>
      <c r="L270" s="21" t="str">
        <f t="shared" si="7"/>
        <v/>
      </c>
    </row>
    <row r="271" spans="3:12">
      <c r="C271" s="30"/>
      <c r="D271" s="31"/>
      <c r="L271" s="21" t="str">
        <f t="shared" si="7"/>
        <v/>
      </c>
    </row>
    <row r="272" spans="3:12">
      <c r="C272" s="30"/>
      <c r="D272" s="31"/>
      <c r="L272" s="21" t="str">
        <f t="shared" si="7"/>
        <v/>
      </c>
    </row>
    <row r="273" spans="3:12">
      <c r="C273" s="30"/>
      <c r="D273" s="31"/>
      <c r="L273" s="21" t="str">
        <f t="shared" si="7"/>
        <v/>
      </c>
    </row>
    <row r="274" spans="3:12">
      <c r="C274" s="30"/>
      <c r="D274" s="31"/>
      <c r="L274" s="21" t="str">
        <f t="shared" si="7"/>
        <v/>
      </c>
    </row>
    <row r="275" spans="3:12">
      <c r="C275" s="30"/>
      <c r="D275" s="31"/>
      <c r="L275" s="21" t="str">
        <f t="shared" si="7"/>
        <v/>
      </c>
    </row>
    <row r="276" spans="3:12">
      <c r="C276" s="30"/>
      <c r="D276" s="31"/>
      <c r="L276" s="21" t="str">
        <f t="shared" si="7"/>
        <v/>
      </c>
    </row>
    <row r="277" spans="3:12">
      <c r="C277" s="30"/>
      <c r="D277" s="31"/>
      <c r="L277" s="21" t="str">
        <f t="shared" si="7"/>
        <v/>
      </c>
    </row>
    <row r="278" spans="3:12">
      <c r="C278" s="30"/>
      <c r="D278" s="31"/>
      <c r="L278" s="21" t="str">
        <f t="shared" si="7"/>
        <v/>
      </c>
    </row>
    <row r="279" spans="3:12">
      <c r="C279" s="30"/>
      <c r="D279" s="31"/>
      <c r="L279" s="21" t="str">
        <f t="shared" si="7"/>
        <v/>
      </c>
    </row>
    <row r="280" spans="3:12">
      <c r="C280" s="30"/>
      <c r="D280" s="31"/>
      <c r="L280" s="21" t="str">
        <f t="shared" si="7"/>
        <v/>
      </c>
    </row>
    <row r="281" spans="3:12">
      <c r="C281" s="30"/>
      <c r="D281" s="31"/>
      <c r="L281" s="21" t="str">
        <f t="shared" si="7"/>
        <v/>
      </c>
    </row>
    <row r="282" spans="3:12">
      <c r="C282" s="30"/>
      <c r="D282" s="31"/>
      <c r="L282" s="21" t="str">
        <f t="shared" si="7"/>
        <v/>
      </c>
    </row>
    <row r="283" spans="3:12">
      <c r="C283" s="30"/>
      <c r="D283" s="31"/>
      <c r="L283" s="21" t="str">
        <f t="shared" si="7"/>
        <v/>
      </c>
    </row>
    <row r="284" spans="3:12">
      <c r="C284" s="30"/>
      <c r="D284" s="31"/>
      <c r="L284" s="21" t="str">
        <f t="shared" si="7"/>
        <v/>
      </c>
    </row>
    <row r="285" spans="3:12">
      <c r="C285" s="30"/>
      <c r="D285" s="31"/>
      <c r="L285" s="21" t="str">
        <f t="shared" si="7"/>
        <v/>
      </c>
    </row>
    <row r="286" spans="3:12">
      <c r="C286" s="30"/>
      <c r="D286" s="31"/>
      <c r="L286" s="21" t="str">
        <f t="shared" si="7"/>
        <v/>
      </c>
    </row>
    <row r="287" spans="3:12">
      <c r="C287" s="30"/>
      <c r="D287" s="31"/>
      <c r="L287" s="21" t="str">
        <f t="shared" si="7"/>
        <v/>
      </c>
    </row>
    <row r="288" spans="3:12">
      <c r="C288" s="30"/>
      <c r="D288" s="31"/>
      <c r="L288" s="21" t="str">
        <f t="shared" si="7"/>
        <v/>
      </c>
    </row>
    <row r="289" spans="3:12">
      <c r="C289" s="30"/>
      <c r="D289" s="31"/>
      <c r="L289" s="21" t="str">
        <f t="shared" si="7"/>
        <v/>
      </c>
    </row>
    <row r="290" spans="3:12">
      <c r="C290" s="30"/>
      <c r="D290" s="31"/>
      <c r="L290" s="21" t="str">
        <f t="shared" si="7"/>
        <v/>
      </c>
    </row>
    <row r="291" spans="3:12">
      <c r="C291" s="30"/>
      <c r="D291" s="31"/>
      <c r="L291" s="21" t="str">
        <f t="shared" si="7"/>
        <v/>
      </c>
    </row>
    <row r="292" spans="3:12">
      <c r="C292" s="30"/>
      <c r="D292" s="31"/>
      <c r="L292" s="21" t="str">
        <f t="shared" si="7"/>
        <v/>
      </c>
    </row>
    <row r="293" spans="3:12">
      <c r="C293" s="30"/>
      <c r="D293" s="31"/>
      <c r="L293" s="21" t="str">
        <f t="shared" si="7"/>
        <v/>
      </c>
    </row>
    <row r="294" spans="3:12">
      <c r="C294" s="30"/>
      <c r="D294" s="31"/>
      <c r="L294" s="21" t="str">
        <f t="shared" si="7"/>
        <v/>
      </c>
    </row>
    <row r="295" spans="3:12">
      <c r="C295" s="30"/>
      <c r="D295" s="31"/>
      <c r="L295" s="21" t="str">
        <f t="shared" ref="L295:L358" si="8">LEFT(A295,1)</f>
        <v/>
      </c>
    </row>
    <row r="296" spans="3:12">
      <c r="C296" s="30"/>
      <c r="D296" s="31"/>
      <c r="L296" s="21" t="str">
        <f t="shared" si="8"/>
        <v/>
      </c>
    </row>
    <row r="297" spans="3:12">
      <c r="C297" s="30"/>
      <c r="D297" s="31"/>
      <c r="L297" s="21" t="str">
        <f t="shared" si="8"/>
        <v/>
      </c>
    </row>
    <row r="298" spans="3:12">
      <c r="C298" s="30"/>
      <c r="D298" s="31"/>
      <c r="L298" s="21" t="str">
        <f t="shared" si="8"/>
        <v/>
      </c>
    </row>
    <row r="299" spans="3:12">
      <c r="C299" s="30"/>
      <c r="D299" s="31"/>
      <c r="L299" s="21" t="str">
        <f t="shared" si="8"/>
        <v/>
      </c>
    </row>
    <row r="300" spans="3:12">
      <c r="C300" s="30"/>
      <c r="D300" s="31"/>
      <c r="L300" s="21" t="str">
        <f t="shared" si="8"/>
        <v/>
      </c>
    </row>
    <row r="301" spans="3:12">
      <c r="C301" s="30"/>
      <c r="D301" s="31"/>
      <c r="L301" s="21" t="str">
        <f t="shared" si="8"/>
        <v/>
      </c>
    </row>
    <row r="302" spans="3:12">
      <c r="C302" s="30"/>
      <c r="D302" s="31"/>
      <c r="L302" s="21" t="str">
        <f t="shared" si="8"/>
        <v/>
      </c>
    </row>
    <row r="303" spans="3:12">
      <c r="C303" s="30"/>
      <c r="D303" s="31"/>
      <c r="L303" s="21" t="str">
        <f t="shared" si="8"/>
        <v/>
      </c>
    </row>
    <row r="304" spans="3:12">
      <c r="C304" s="30"/>
      <c r="D304" s="31"/>
      <c r="L304" s="21" t="str">
        <f t="shared" si="8"/>
        <v/>
      </c>
    </row>
    <row r="305" spans="3:12">
      <c r="C305" s="30"/>
      <c r="D305" s="31"/>
      <c r="L305" s="21" t="str">
        <f t="shared" si="8"/>
        <v/>
      </c>
    </row>
    <row r="306" spans="3:12">
      <c r="C306" s="30"/>
      <c r="D306" s="31"/>
      <c r="L306" s="21" t="str">
        <f t="shared" si="8"/>
        <v/>
      </c>
    </row>
    <row r="307" spans="3:12">
      <c r="C307" s="30"/>
      <c r="D307" s="31"/>
      <c r="L307" s="21" t="str">
        <f t="shared" si="8"/>
        <v/>
      </c>
    </row>
    <row r="308" spans="3:12">
      <c r="C308" s="30"/>
      <c r="D308" s="31"/>
      <c r="L308" s="21" t="str">
        <f t="shared" si="8"/>
        <v/>
      </c>
    </row>
    <row r="309" spans="3:12">
      <c r="C309" s="30"/>
      <c r="D309" s="31"/>
      <c r="L309" s="21" t="str">
        <f t="shared" si="8"/>
        <v/>
      </c>
    </row>
    <row r="310" spans="3:12">
      <c r="C310" s="30"/>
      <c r="D310" s="31"/>
      <c r="L310" s="21" t="str">
        <f t="shared" si="8"/>
        <v/>
      </c>
    </row>
    <row r="311" spans="3:12">
      <c r="C311" s="30"/>
      <c r="D311" s="31"/>
      <c r="L311" s="21" t="str">
        <f t="shared" si="8"/>
        <v/>
      </c>
    </row>
    <row r="312" spans="3:12">
      <c r="C312" s="30"/>
      <c r="D312" s="31"/>
      <c r="L312" s="21" t="str">
        <f t="shared" si="8"/>
        <v/>
      </c>
    </row>
    <row r="313" spans="3:12">
      <c r="C313" s="30"/>
      <c r="D313" s="31"/>
      <c r="L313" s="21" t="str">
        <f t="shared" si="8"/>
        <v/>
      </c>
    </row>
    <row r="314" spans="3:12">
      <c r="C314" s="30"/>
      <c r="D314" s="31"/>
      <c r="L314" s="21" t="str">
        <f t="shared" si="8"/>
        <v/>
      </c>
    </row>
    <row r="315" spans="3:12">
      <c r="C315" s="30"/>
      <c r="D315" s="31"/>
      <c r="L315" s="21" t="str">
        <f t="shared" si="8"/>
        <v/>
      </c>
    </row>
    <row r="316" spans="3:12">
      <c r="C316" s="30"/>
      <c r="D316" s="31"/>
      <c r="L316" s="21" t="str">
        <f t="shared" si="8"/>
        <v/>
      </c>
    </row>
    <row r="317" spans="3:12">
      <c r="C317" s="30"/>
      <c r="D317" s="31"/>
      <c r="L317" s="21" t="str">
        <f t="shared" si="8"/>
        <v/>
      </c>
    </row>
    <row r="318" spans="3:12">
      <c r="C318" s="30"/>
      <c r="D318" s="31"/>
      <c r="L318" s="21" t="str">
        <f t="shared" si="8"/>
        <v/>
      </c>
    </row>
    <row r="319" spans="3:12">
      <c r="C319" s="30"/>
      <c r="D319" s="31"/>
      <c r="L319" s="21" t="str">
        <f t="shared" si="8"/>
        <v/>
      </c>
    </row>
    <row r="320" spans="3:12">
      <c r="C320" s="30"/>
      <c r="D320" s="31"/>
      <c r="L320" s="21" t="str">
        <f t="shared" si="8"/>
        <v/>
      </c>
    </row>
    <row r="321" spans="3:12">
      <c r="C321" s="30"/>
      <c r="D321" s="31"/>
      <c r="L321" s="21" t="str">
        <f t="shared" si="8"/>
        <v/>
      </c>
    </row>
    <row r="322" spans="3:12">
      <c r="C322" s="30"/>
      <c r="D322" s="31"/>
      <c r="L322" s="21" t="str">
        <f t="shared" si="8"/>
        <v/>
      </c>
    </row>
    <row r="323" spans="3:12">
      <c r="C323" s="30"/>
      <c r="D323" s="31"/>
      <c r="L323" s="21" t="str">
        <f t="shared" si="8"/>
        <v/>
      </c>
    </row>
    <row r="324" spans="3:12">
      <c r="C324" s="30"/>
      <c r="D324" s="31"/>
      <c r="L324" s="21" t="str">
        <f t="shared" si="8"/>
        <v/>
      </c>
    </row>
    <row r="325" spans="3:12">
      <c r="C325" s="30"/>
      <c r="D325" s="31"/>
      <c r="L325" s="21" t="str">
        <f t="shared" si="8"/>
        <v/>
      </c>
    </row>
    <row r="326" spans="3:12">
      <c r="C326" s="30"/>
      <c r="D326" s="31"/>
      <c r="L326" s="21" t="str">
        <f t="shared" si="8"/>
        <v/>
      </c>
    </row>
    <row r="327" spans="3:12">
      <c r="C327" s="30"/>
      <c r="D327" s="31"/>
      <c r="L327" s="21" t="str">
        <f t="shared" si="8"/>
        <v/>
      </c>
    </row>
    <row r="328" spans="3:12">
      <c r="C328" s="30"/>
      <c r="D328" s="31"/>
      <c r="L328" s="21" t="str">
        <f t="shared" si="8"/>
        <v/>
      </c>
    </row>
    <row r="329" spans="3:12">
      <c r="C329" s="30"/>
      <c r="D329" s="31"/>
      <c r="L329" s="21" t="str">
        <f t="shared" si="8"/>
        <v/>
      </c>
    </row>
    <row r="330" spans="3:12">
      <c r="C330" s="30"/>
      <c r="D330" s="31"/>
      <c r="L330" s="21" t="str">
        <f t="shared" si="8"/>
        <v/>
      </c>
    </row>
    <row r="331" spans="3:12">
      <c r="C331" s="30"/>
      <c r="D331" s="31"/>
      <c r="L331" s="21" t="str">
        <f t="shared" si="8"/>
        <v/>
      </c>
    </row>
    <row r="332" spans="3:12">
      <c r="C332" s="30"/>
      <c r="D332" s="31"/>
      <c r="L332" s="21" t="str">
        <f t="shared" si="8"/>
        <v/>
      </c>
    </row>
    <row r="333" spans="3:12">
      <c r="C333" s="30"/>
      <c r="D333" s="31"/>
      <c r="L333" s="21" t="str">
        <f t="shared" si="8"/>
        <v/>
      </c>
    </row>
    <row r="334" spans="3:12">
      <c r="C334" s="30"/>
      <c r="D334" s="31"/>
      <c r="L334" s="21" t="str">
        <f t="shared" si="8"/>
        <v/>
      </c>
    </row>
    <row r="335" spans="3:12">
      <c r="C335" s="30"/>
      <c r="D335" s="31"/>
      <c r="L335" s="21" t="str">
        <f t="shared" si="8"/>
        <v/>
      </c>
    </row>
    <row r="336" spans="3:12">
      <c r="C336" s="30"/>
      <c r="D336" s="31"/>
      <c r="L336" s="21" t="str">
        <f t="shared" si="8"/>
        <v/>
      </c>
    </row>
    <row r="337" spans="3:12">
      <c r="C337" s="30"/>
      <c r="D337" s="31"/>
      <c r="L337" s="21" t="str">
        <f t="shared" si="8"/>
        <v/>
      </c>
    </row>
    <row r="338" spans="3:12">
      <c r="C338" s="30"/>
      <c r="D338" s="31"/>
      <c r="L338" s="21" t="str">
        <f t="shared" si="8"/>
        <v/>
      </c>
    </row>
    <row r="339" spans="3:12">
      <c r="C339" s="30"/>
      <c r="D339" s="31"/>
      <c r="L339" s="21" t="str">
        <f t="shared" si="8"/>
        <v/>
      </c>
    </row>
    <row r="340" spans="3:12">
      <c r="C340" s="30"/>
      <c r="D340" s="31"/>
      <c r="L340" s="21" t="str">
        <f t="shared" si="8"/>
        <v/>
      </c>
    </row>
    <row r="341" spans="3:12">
      <c r="C341" s="30"/>
      <c r="D341" s="31"/>
      <c r="L341" s="21" t="str">
        <f t="shared" si="8"/>
        <v/>
      </c>
    </row>
    <row r="342" spans="3:12">
      <c r="C342" s="30"/>
      <c r="D342" s="31"/>
      <c r="L342" s="21" t="str">
        <f t="shared" si="8"/>
        <v/>
      </c>
    </row>
    <row r="343" spans="3:12">
      <c r="C343" s="30"/>
      <c r="D343" s="31"/>
      <c r="L343" s="21" t="str">
        <f t="shared" si="8"/>
        <v/>
      </c>
    </row>
    <row r="344" spans="3:12">
      <c r="C344" s="30"/>
      <c r="D344" s="31"/>
      <c r="L344" s="21" t="str">
        <f t="shared" si="8"/>
        <v/>
      </c>
    </row>
    <row r="345" spans="3:12">
      <c r="C345" s="30"/>
      <c r="D345" s="31"/>
      <c r="L345" s="21" t="str">
        <f t="shared" si="8"/>
        <v/>
      </c>
    </row>
    <row r="346" spans="3:12">
      <c r="C346" s="30"/>
      <c r="D346" s="31"/>
      <c r="L346" s="21" t="str">
        <f t="shared" si="8"/>
        <v/>
      </c>
    </row>
    <row r="347" spans="3:12">
      <c r="C347" s="30"/>
      <c r="D347" s="31"/>
      <c r="L347" s="21" t="str">
        <f t="shared" si="8"/>
        <v/>
      </c>
    </row>
    <row r="348" spans="3:12">
      <c r="C348" s="30"/>
      <c r="D348" s="31"/>
      <c r="L348" s="21" t="str">
        <f t="shared" si="8"/>
        <v/>
      </c>
    </row>
    <row r="349" spans="3:12">
      <c r="C349" s="30"/>
      <c r="D349" s="31"/>
      <c r="L349" s="21" t="str">
        <f t="shared" si="8"/>
        <v/>
      </c>
    </row>
    <row r="350" spans="3:12">
      <c r="C350" s="30"/>
      <c r="D350" s="31"/>
      <c r="L350" s="21" t="str">
        <f t="shared" si="8"/>
        <v/>
      </c>
    </row>
    <row r="351" spans="3:12">
      <c r="C351" s="30"/>
      <c r="D351" s="31"/>
      <c r="L351" s="21" t="str">
        <f t="shared" si="8"/>
        <v/>
      </c>
    </row>
    <row r="352" spans="3:12">
      <c r="C352" s="30"/>
      <c r="D352" s="31"/>
      <c r="L352" s="21" t="str">
        <f t="shared" si="8"/>
        <v/>
      </c>
    </row>
    <row r="353" spans="3:12">
      <c r="C353" s="30"/>
      <c r="D353" s="31"/>
      <c r="L353" s="21" t="str">
        <f t="shared" si="8"/>
        <v/>
      </c>
    </row>
    <row r="354" spans="3:12">
      <c r="C354" s="30"/>
      <c r="D354" s="31"/>
      <c r="L354" s="21" t="str">
        <f t="shared" si="8"/>
        <v/>
      </c>
    </row>
    <row r="355" spans="3:12">
      <c r="C355" s="30"/>
      <c r="D355" s="31"/>
      <c r="L355" s="21" t="str">
        <f t="shared" si="8"/>
        <v/>
      </c>
    </row>
    <row r="356" spans="3:12">
      <c r="C356" s="30"/>
      <c r="D356" s="31"/>
      <c r="L356" s="21" t="str">
        <f t="shared" si="8"/>
        <v/>
      </c>
    </row>
    <row r="357" spans="3:12">
      <c r="C357" s="30"/>
      <c r="D357" s="31"/>
      <c r="L357" s="21" t="str">
        <f t="shared" si="8"/>
        <v/>
      </c>
    </row>
    <row r="358" spans="3:12">
      <c r="C358" s="30"/>
      <c r="D358" s="31"/>
      <c r="L358" s="21" t="str">
        <f t="shared" si="8"/>
        <v/>
      </c>
    </row>
    <row r="359" spans="3:12">
      <c r="C359" s="30"/>
      <c r="D359" s="31"/>
      <c r="L359" s="21" t="str">
        <f t="shared" ref="L359:L405" si="9">LEFT(A359,1)</f>
        <v/>
      </c>
    </row>
    <row r="360" spans="3:12">
      <c r="C360" s="30"/>
      <c r="D360" s="31"/>
      <c r="L360" s="21" t="str">
        <f t="shared" si="9"/>
        <v/>
      </c>
    </row>
    <row r="361" spans="3:12">
      <c r="C361" s="30"/>
      <c r="D361" s="31"/>
      <c r="L361" s="21" t="str">
        <f t="shared" si="9"/>
        <v/>
      </c>
    </row>
    <row r="362" spans="3:12">
      <c r="C362" s="30"/>
      <c r="D362" s="31"/>
      <c r="L362" s="21" t="str">
        <f t="shared" si="9"/>
        <v/>
      </c>
    </row>
    <row r="363" spans="3:12">
      <c r="C363" s="30"/>
      <c r="D363" s="31"/>
      <c r="L363" s="21" t="str">
        <f t="shared" si="9"/>
        <v/>
      </c>
    </row>
    <row r="364" spans="3:12">
      <c r="C364" s="30"/>
      <c r="D364" s="31"/>
      <c r="L364" s="21" t="str">
        <f t="shared" si="9"/>
        <v/>
      </c>
    </row>
    <row r="365" spans="3:12">
      <c r="C365" s="30"/>
      <c r="D365" s="31"/>
      <c r="L365" s="21" t="str">
        <f t="shared" si="9"/>
        <v/>
      </c>
    </row>
    <row r="366" spans="3:12">
      <c r="C366" s="30"/>
      <c r="D366" s="31"/>
      <c r="L366" s="21" t="str">
        <f t="shared" si="9"/>
        <v/>
      </c>
    </row>
    <row r="367" spans="3:12">
      <c r="C367" s="30"/>
      <c r="D367" s="31"/>
      <c r="L367" s="21" t="str">
        <f t="shared" si="9"/>
        <v/>
      </c>
    </row>
    <row r="368" spans="3:12">
      <c r="C368" s="30"/>
      <c r="D368" s="31"/>
      <c r="L368" s="21" t="str">
        <f t="shared" si="9"/>
        <v/>
      </c>
    </row>
    <row r="369" spans="3:12">
      <c r="C369" s="30"/>
      <c r="D369" s="31"/>
      <c r="L369" s="21" t="str">
        <f t="shared" si="9"/>
        <v/>
      </c>
    </row>
    <row r="370" spans="3:12">
      <c r="C370" s="30"/>
      <c r="D370" s="31"/>
      <c r="L370" s="21" t="str">
        <f t="shared" si="9"/>
        <v/>
      </c>
    </row>
    <row r="371" spans="3:12">
      <c r="C371" s="30"/>
      <c r="D371" s="31"/>
      <c r="L371" s="21" t="str">
        <f t="shared" si="9"/>
        <v/>
      </c>
    </row>
    <row r="372" spans="3:12">
      <c r="C372" s="30"/>
      <c r="D372" s="31"/>
      <c r="L372" s="21" t="str">
        <f t="shared" si="9"/>
        <v/>
      </c>
    </row>
    <row r="373" spans="3:12">
      <c r="C373" s="30"/>
      <c r="D373" s="31"/>
      <c r="L373" s="21" t="str">
        <f t="shared" si="9"/>
        <v/>
      </c>
    </row>
    <row r="374" spans="3:12">
      <c r="C374" s="30"/>
      <c r="D374" s="31"/>
      <c r="L374" s="21" t="str">
        <f t="shared" si="9"/>
        <v/>
      </c>
    </row>
    <row r="375" spans="3:12">
      <c r="C375" s="30"/>
      <c r="D375" s="31"/>
      <c r="L375" s="21" t="str">
        <f t="shared" si="9"/>
        <v/>
      </c>
    </row>
    <row r="376" spans="3:12">
      <c r="C376" s="30"/>
      <c r="D376" s="31"/>
      <c r="L376" s="21" t="str">
        <f t="shared" si="9"/>
        <v/>
      </c>
    </row>
    <row r="377" spans="3:12">
      <c r="C377" s="30"/>
      <c r="D377" s="31"/>
      <c r="L377" s="21" t="str">
        <f t="shared" si="9"/>
        <v/>
      </c>
    </row>
    <row r="378" spans="3:12">
      <c r="C378" s="30"/>
      <c r="D378" s="31"/>
      <c r="L378" s="21" t="str">
        <f t="shared" si="9"/>
        <v/>
      </c>
    </row>
    <row r="379" spans="3:12">
      <c r="C379" s="30"/>
      <c r="D379" s="31"/>
      <c r="L379" s="21" t="str">
        <f t="shared" si="9"/>
        <v/>
      </c>
    </row>
    <row r="380" spans="3:12">
      <c r="C380" s="30"/>
      <c r="D380" s="31"/>
      <c r="L380" s="21" t="str">
        <f t="shared" si="9"/>
        <v/>
      </c>
    </row>
    <row r="381" spans="3:12">
      <c r="C381" s="30"/>
      <c r="D381" s="31"/>
      <c r="L381" s="21" t="str">
        <f t="shared" si="9"/>
        <v/>
      </c>
    </row>
    <row r="382" spans="3:12">
      <c r="C382" s="30"/>
      <c r="D382" s="31"/>
      <c r="L382" s="21" t="str">
        <f t="shared" si="9"/>
        <v/>
      </c>
    </row>
    <row r="383" spans="3:12">
      <c r="C383" s="30"/>
      <c r="D383" s="31"/>
      <c r="L383" s="21" t="str">
        <f t="shared" si="9"/>
        <v/>
      </c>
    </row>
    <row r="384" spans="3:12">
      <c r="C384" s="30"/>
      <c r="D384" s="31"/>
      <c r="L384" s="21" t="str">
        <f t="shared" si="9"/>
        <v/>
      </c>
    </row>
    <row r="385" spans="3:12">
      <c r="C385" s="30"/>
      <c r="D385" s="31"/>
      <c r="L385" s="21" t="str">
        <f t="shared" si="9"/>
        <v/>
      </c>
    </row>
    <row r="386" spans="3:12">
      <c r="C386" s="30"/>
      <c r="D386" s="31"/>
      <c r="L386" s="21" t="str">
        <f t="shared" si="9"/>
        <v/>
      </c>
    </row>
    <row r="387" spans="3:12">
      <c r="C387" s="30"/>
      <c r="D387" s="31"/>
      <c r="L387" s="21" t="str">
        <f t="shared" si="9"/>
        <v/>
      </c>
    </row>
    <row r="388" spans="3:12">
      <c r="C388" s="30"/>
      <c r="D388" s="31"/>
      <c r="L388" s="21" t="str">
        <f t="shared" si="9"/>
        <v/>
      </c>
    </row>
    <row r="389" spans="3:12">
      <c r="C389" s="30"/>
      <c r="D389" s="31"/>
      <c r="L389" s="21" t="str">
        <f t="shared" si="9"/>
        <v/>
      </c>
    </row>
    <row r="390" spans="3:12">
      <c r="C390" s="30"/>
      <c r="D390" s="31"/>
      <c r="L390" s="21" t="str">
        <f t="shared" si="9"/>
        <v/>
      </c>
    </row>
    <row r="391" spans="3:12">
      <c r="C391" s="30"/>
      <c r="D391" s="31"/>
      <c r="L391" s="21" t="str">
        <f t="shared" si="9"/>
        <v/>
      </c>
    </row>
    <row r="392" spans="3:12">
      <c r="C392" s="30"/>
      <c r="D392" s="31"/>
      <c r="L392" s="21" t="str">
        <f t="shared" si="9"/>
        <v/>
      </c>
    </row>
    <row r="393" spans="3:12">
      <c r="C393" s="30"/>
      <c r="D393" s="31"/>
      <c r="L393" s="21" t="str">
        <f t="shared" si="9"/>
        <v/>
      </c>
    </row>
    <row r="394" spans="3:12">
      <c r="C394" s="30"/>
      <c r="D394" s="31"/>
      <c r="L394" s="21" t="str">
        <f t="shared" si="9"/>
        <v/>
      </c>
    </row>
    <row r="395" spans="3:12">
      <c r="C395" s="30"/>
      <c r="D395" s="31"/>
      <c r="L395" s="21" t="str">
        <f t="shared" si="9"/>
        <v/>
      </c>
    </row>
    <row r="396" spans="3:12">
      <c r="C396" s="30"/>
      <c r="D396" s="31"/>
      <c r="L396" s="21" t="str">
        <f t="shared" si="9"/>
        <v/>
      </c>
    </row>
    <row r="397" spans="3:12">
      <c r="C397" s="30"/>
      <c r="D397" s="31"/>
      <c r="L397" s="21" t="str">
        <f t="shared" si="9"/>
        <v/>
      </c>
    </row>
    <row r="398" spans="3:12">
      <c r="C398" s="30"/>
      <c r="D398" s="31"/>
      <c r="L398" s="21" t="str">
        <f t="shared" si="9"/>
        <v/>
      </c>
    </row>
    <row r="399" spans="3:12">
      <c r="C399" s="30"/>
      <c r="D399" s="31"/>
      <c r="L399" s="21" t="str">
        <f t="shared" si="9"/>
        <v/>
      </c>
    </row>
    <row r="400" spans="3:12">
      <c r="C400" s="30"/>
      <c r="D400" s="31"/>
      <c r="L400" s="21" t="str">
        <f t="shared" si="9"/>
        <v/>
      </c>
    </row>
    <row r="401" spans="3:12">
      <c r="C401" s="30"/>
      <c r="D401" s="31"/>
      <c r="L401" s="21" t="str">
        <f t="shared" si="9"/>
        <v/>
      </c>
    </row>
    <row r="402" spans="3:12">
      <c r="C402" s="30"/>
      <c r="D402" s="31"/>
      <c r="L402" s="21" t="str">
        <f t="shared" si="9"/>
        <v/>
      </c>
    </row>
    <row r="403" spans="3:12">
      <c r="C403" s="30"/>
      <c r="D403" s="31"/>
      <c r="L403" s="21" t="str">
        <f t="shared" si="9"/>
        <v/>
      </c>
    </row>
    <row r="404" spans="12:12">
      <c r="L404" s="21" t="str">
        <f t="shared" si="9"/>
        <v/>
      </c>
    </row>
    <row r="405" spans="12:12">
      <c r="L405" s="21" t="str">
        <f t="shared" si="9"/>
        <v/>
      </c>
    </row>
  </sheetData>
  <dataValidations count="2"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1:A2">
      <formula1>常用代码!$A:$A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name="Button 1" r:id="rId3">
              <controlPr print="0" defaultSize="0">
                <anchor>
                  <from>
                    <xdr:col>4</xdr:col>
                    <xdr:colOff>209550</xdr:colOff>
                    <xdr:row>1</xdr:row>
                    <xdr:rowOff>0</xdr:rowOff>
                  </from>
                  <to>
                    <xdr:col>5</xdr:col>
                    <xdr:colOff>323850</xdr:colOff>
                    <xdr:row>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name="Button 2" r:id="rId4">
              <controlPr print="0" defaultSize="0">
                <anchor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8</xdr:col>
                    <xdr:colOff>57150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name="Button 3" r:id="rId5">
              <controlPr print="0" defaultSize="0">
                <anchor>
                  <from>
                    <xdr:col>10</xdr:col>
                    <xdr:colOff>628650</xdr:colOff>
                    <xdr:row>1</xdr:row>
                    <xdr:rowOff>0</xdr:rowOff>
                  </from>
                  <to>
                    <xdr:col>10</xdr:col>
                    <xdr:colOff>1238250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name="Button 6" r:id="rId6">
              <controlPr print="0" defaultSize="0">
                <anchor moveWithCells="1" sizeWithCells="1">
                  <from>
                    <xdr:col>10</xdr:col>
                    <xdr:colOff>1695450</xdr:colOff>
                    <xdr:row>1</xdr:row>
                    <xdr:rowOff>47625</xdr:rowOff>
                  </from>
                  <to>
                    <xdr:col>10</xdr:col>
                    <xdr:colOff>2571750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F15" sqref="F15"/>
    </sheetView>
  </sheetViews>
  <sheetFormatPr defaultColWidth="9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39</v>
      </c>
      <c r="B1" s="3" t="s">
        <v>40</v>
      </c>
      <c r="C1" s="4"/>
      <c r="D1" s="5"/>
    </row>
    <row r="2" ht="14.25" spans="1:4">
      <c r="A2" t="s">
        <v>41</v>
      </c>
      <c r="B2" s="6" t="s">
        <v>42</v>
      </c>
      <c r="C2" s="7"/>
      <c r="D2" s="8"/>
    </row>
    <row r="3" ht="14.25" spans="1:4">
      <c r="A3" t="s">
        <v>43</v>
      </c>
      <c r="B3" s="9" t="s">
        <v>44</v>
      </c>
      <c r="C3" s="4"/>
      <c r="D3" s="7"/>
    </row>
    <row r="4" spans="1:4">
      <c r="A4" t="s">
        <v>45</v>
      </c>
      <c r="B4" s="9" t="s">
        <v>46</v>
      </c>
      <c r="C4" s="4"/>
      <c r="D4" s="7"/>
    </row>
    <row r="5" spans="1:4">
      <c r="A5" t="s">
        <v>47</v>
      </c>
      <c r="B5" s="9" t="s">
        <v>48</v>
      </c>
      <c r="C5" s="10"/>
      <c r="D5" s="11"/>
    </row>
    <row r="6" spans="1:3">
      <c r="A6" t="s">
        <v>49</v>
      </c>
      <c r="B6" s="9" t="s">
        <v>50</v>
      </c>
      <c r="C6" s="10"/>
    </row>
    <row r="7" spans="1:3">
      <c r="A7" t="s">
        <v>51</v>
      </c>
      <c r="B7" s="9" t="s">
        <v>52</v>
      </c>
      <c r="C7" s="12"/>
    </row>
    <row r="8" spans="1:1">
      <c r="A8" t="s">
        <v>53</v>
      </c>
    </row>
    <row r="9" spans="1:2">
      <c r="A9" t="s">
        <v>54</v>
      </c>
      <c r="B9" s="13" t="s">
        <v>55</v>
      </c>
    </row>
    <row r="10" spans="1:3">
      <c r="A10" t="s">
        <v>56</v>
      </c>
      <c r="B10" s="14" t="s">
        <v>57</v>
      </c>
      <c r="C10" s="14"/>
    </row>
    <row r="11" spans="1:3">
      <c r="A11" t="s">
        <v>58</v>
      </c>
      <c r="B11" s="14" t="s">
        <v>59</v>
      </c>
      <c r="C11" s="14"/>
    </row>
    <row r="12" spans="1:1">
      <c r="A12" t="s">
        <v>60</v>
      </c>
    </row>
    <row r="13" spans="1:2">
      <c r="A13" t="s">
        <v>61</v>
      </c>
      <c r="B13" s="13" t="s">
        <v>62</v>
      </c>
    </row>
    <row r="14" spans="1:3">
      <c r="A14" t="s">
        <v>63</v>
      </c>
      <c r="B14" s="15" t="s">
        <v>64</v>
      </c>
      <c r="C14" s="16"/>
    </row>
    <row r="15" spans="1:3">
      <c r="A15" t="s">
        <v>65</v>
      </c>
      <c r="B15" s="15" t="s">
        <v>66</v>
      </c>
      <c r="C15" s="15"/>
    </row>
    <row r="16" spans="1:1">
      <c r="A16" t="s">
        <v>67</v>
      </c>
    </row>
    <row r="17" spans="1:1">
      <c r="A17" t="s">
        <v>68</v>
      </c>
    </row>
    <row r="18" spans="1:1">
      <c r="A18" t="s">
        <v>69</v>
      </c>
    </row>
    <row r="19" spans="1:1">
      <c r="A19" t="s">
        <v>70</v>
      </c>
    </row>
    <row r="20" spans="1:2">
      <c r="A20" t="s">
        <v>71</v>
      </c>
      <c r="B20" t="s">
        <v>72</v>
      </c>
    </row>
    <row r="21" spans="1:1">
      <c r="A21" t="s">
        <v>73</v>
      </c>
    </row>
    <row r="22" spans="1:1">
      <c r="A22" t="s">
        <v>74</v>
      </c>
    </row>
    <row r="23" spans="1:1">
      <c r="A23" t="s">
        <v>75</v>
      </c>
    </row>
    <row r="24" spans="1:1">
      <c r="A24" t="s">
        <v>76</v>
      </c>
    </row>
    <row r="25" spans="1:1">
      <c r="A25" t="s">
        <v>77</v>
      </c>
    </row>
    <row r="26" spans="1:1">
      <c r="A26" t="s">
        <v>78</v>
      </c>
    </row>
    <row r="27" spans="1:1">
      <c r="A27" t="s">
        <v>79</v>
      </c>
    </row>
    <row r="28" spans="1:1">
      <c r="A28" t="s">
        <v>80</v>
      </c>
    </row>
    <row r="29" spans="1:1">
      <c r="A29" t="s">
        <v>81</v>
      </c>
    </row>
    <row r="30" spans="1:1">
      <c r="A30" t="s">
        <v>82</v>
      </c>
    </row>
  </sheetData>
  <conditionalFormatting sqref="B1">
    <cfRule type="containsText" dxfId="0" priority="4" operator="between" text=" ">
      <formula>NOT(ISERROR(SEARCH(" ",B1)))</formula>
    </cfRule>
    <cfRule type="containsText" dxfId="0" priority="5" operator="between" text=" ">
      <formula>NOT(ISERROR(SEARCH(" ",B1)))</formula>
    </cfRule>
    <cfRule type="containsText" dxfId="0" priority="6" operator="between" text=" ">
      <formula>NOT(ISERROR(SEARCH(" ",B1)))</formula>
    </cfRule>
  </conditionalFormatting>
  <conditionalFormatting sqref="C1">
    <cfRule type="containsText" dxfId="0" priority="8" operator="between" text=" ">
      <formula>NOT(ISERROR(SEARCH(" ",C1)))</formula>
    </cfRule>
  </conditionalFormatting>
  <conditionalFormatting sqref="D1">
    <cfRule type="containsText" dxfId="0" priority="7" operator="between" text=" ">
      <formula>NOT(ISERROR(SEARCH(" ",D1)))</formula>
    </cfRule>
  </conditionalFormatting>
  <conditionalFormatting sqref="B2">
    <cfRule type="containsText" dxfId="0" priority="1" operator="between" text=" ">
      <formula>NOT(ISERROR(SEARCH(" ",B2)))</formula>
    </cfRule>
  </conditionalFormatting>
  <dataValidations count="2">
    <dataValidation type="list" allowBlank="1" showInputMessage="1" showErrorMessage="1" sqref="B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2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</dataValidations>
  <pageMargins left="0.7" right="0.7" top="0.75" bottom="0.75" header="0.3" footer="0.3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18"/>
  <sheetViews>
    <sheetView topLeftCell="A7" workbookViewId="0">
      <selection activeCell="A20" sqref="A20"/>
    </sheetView>
  </sheetViews>
  <sheetFormatPr defaultColWidth="9" defaultRowHeight="13.5"/>
  <cols>
    <col min="1" max="1" width="29.875" customWidth="1"/>
    <col min="2" max="2" width="84" customWidth="1"/>
    <col min="5" max="5" width="27.125" customWidth="1"/>
  </cols>
  <sheetData>
    <row r="1" spans="1:9">
      <c r="A1" t="s">
        <v>83</v>
      </c>
      <c r="B1" t="s">
        <v>84</v>
      </c>
      <c r="C1" t="s">
        <v>85</v>
      </c>
      <c r="D1" t="s">
        <v>16</v>
      </c>
      <c r="G1" t="s">
        <v>86</v>
      </c>
      <c r="H1" t="s">
        <v>87</v>
      </c>
      <c r="I1" t="s">
        <v>88</v>
      </c>
    </row>
    <row r="2" ht="89.25" customHeight="1" spans="1:7">
      <c r="A2" t="s">
        <v>89</v>
      </c>
      <c r="B2" s="1" t="s">
        <v>90</v>
      </c>
      <c r="G2" t="s">
        <v>91</v>
      </c>
    </row>
    <row r="3" ht="72.75" customHeight="1" spans="1:7">
      <c r="A3" t="s">
        <v>92</v>
      </c>
      <c r="B3" s="1" t="s">
        <v>93</v>
      </c>
      <c r="G3" t="s">
        <v>91</v>
      </c>
    </row>
    <row r="4" ht="22.15" customHeight="1" spans="1:7">
      <c r="A4" t="s">
        <v>94</v>
      </c>
      <c r="B4" s="1" t="s">
        <v>95</v>
      </c>
      <c r="C4" s="2" t="s">
        <v>96</v>
      </c>
      <c r="G4" t="s">
        <v>91</v>
      </c>
    </row>
    <row r="5" ht="22.15" customHeight="1" spans="1:7">
      <c r="A5" t="s">
        <v>97</v>
      </c>
      <c r="B5" s="1" t="s">
        <v>98</v>
      </c>
      <c r="C5" s="2"/>
      <c r="G5" t="s">
        <v>91</v>
      </c>
    </row>
    <row r="6" ht="22.15" customHeight="1" spans="1:7">
      <c r="A6" t="s">
        <v>99</v>
      </c>
      <c r="B6" s="1" t="s">
        <v>100</v>
      </c>
      <c r="C6" s="2" t="s">
        <v>101</v>
      </c>
      <c r="G6" t="s">
        <v>91</v>
      </c>
    </row>
    <row r="7" ht="22.15" customHeight="1" spans="1:7">
      <c r="A7" t="s">
        <v>102</v>
      </c>
      <c r="B7" s="1" t="s">
        <v>103</v>
      </c>
      <c r="C7" s="2" t="s">
        <v>101</v>
      </c>
      <c r="G7" t="s">
        <v>91</v>
      </c>
    </row>
    <row r="8" ht="22.15" customHeight="1" spans="1:7">
      <c r="A8" t="s">
        <v>17</v>
      </c>
      <c r="B8" s="1" t="s">
        <v>104</v>
      </c>
      <c r="C8" s="2" t="s">
        <v>105</v>
      </c>
      <c r="G8" t="s">
        <v>91</v>
      </c>
    </row>
    <row r="9" customFormat="1" ht="22.15" customHeight="1" spans="1:7">
      <c r="A9" t="s">
        <v>106</v>
      </c>
      <c r="B9" s="1" t="s">
        <v>107</v>
      </c>
      <c r="C9" s="2" t="s">
        <v>105</v>
      </c>
      <c r="G9" t="s">
        <v>91</v>
      </c>
    </row>
    <row r="10" ht="22.15" customHeight="1" spans="1:7">
      <c r="A10" t="s">
        <v>108</v>
      </c>
      <c r="B10" s="44" t="s">
        <v>109</v>
      </c>
      <c r="C10" s="2" t="s">
        <v>110</v>
      </c>
      <c r="G10" t="s">
        <v>111</v>
      </c>
    </row>
    <row r="11" ht="22.15" customHeight="1" spans="2:8">
      <c r="B11" s="1"/>
      <c r="D11" s="1"/>
      <c r="F11" s="1"/>
      <c r="H11" s="1"/>
    </row>
    <row r="12" ht="22.15" customHeight="1" spans="2:2">
      <c r="B12" s="1"/>
    </row>
    <row r="13" ht="22.15" customHeight="1" spans="2:2">
      <c r="B13" s="1"/>
    </row>
    <row r="14" ht="22.15" customHeight="1" spans="2:2">
      <c r="B14" s="1"/>
    </row>
    <row r="15" ht="22.15" customHeight="1" spans="2:2">
      <c r="B15" s="1"/>
    </row>
    <row r="16" ht="22.15" customHeight="1" spans="2:2">
      <c r="B16" s="1"/>
    </row>
    <row r="17" ht="22.15" customHeight="1" spans="2:2">
      <c r="B17" s="1"/>
    </row>
    <row r="18" ht="22.15" customHeight="1" spans="2:2">
      <c r="B18" s="1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通讯录</vt:lpstr>
      <vt:lpstr>发送消息主文件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Administrator</cp:lastModifiedBy>
  <dcterms:created xsi:type="dcterms:W3CDTF">2006-09-16T00:00:00Z</dcterms:created>
  <cp:lastPrinted>2020-05-27T01:56:00Z</cp:lastPrinted>
  <dcterms:modified xsi:type="dcterms:W3CDTF">2020-08-01T13:12:30Z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