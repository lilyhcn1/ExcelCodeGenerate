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68" windowWidth="14808" windowHeight="7956" activeTab="5"/>
  </bookViews>
  <sheets>
    <sheet name="通讯录" sheetId="12" r:id="rId1"/>
    <sheet name="QQ消息" sheetId="5" r:id="rId2"/>
    <sheet name="微信" sheetId="15" r:id="rId3"/>
    <sheet name="高校通" sheetId="13" r:id="rId4"/>
    <sheet name="邮件" sheetId="1" r:id="rId5"/>
    <sheet name="密码区" sheetId="11" r:id="rId6"/>
    <sheet name="常用代码" sheetId="14" r:id="rId7"/>
  </sheets>
  <functionGroups builtInGroupCount="17"/>
  <definedNames>
    <definedName name="ExternalData_1000" localSheetId="0">通讯录!$A$19:$H$29</definedName>
    <definedName name="ExternalData_1001" localSheetId="0">通讯录!$A$19:$H$28</definedName>
    <definedName name="ExternalData_1002" localSheetId="0">通讯录!$A$19:$G$26</definedName>
    <definedName name="ExternalData_1003" localSheetId="0">通讯录!$A$19:$G$20</definedName>
    <definedName name="ExternalData_1004" localSheetId="0">通讯录!$A$19:$F$43</definedName>
    <definedName name="ExternalData_1005" localSheetId="0">通讯录!$A$19:$H$29</definedName>
    <definedName name="ExternalData_1006" localSheetId="0">通讯录!$A$19:$H$29</definedName>
    <definedName name="ExternalData_1007" localSheetId="0">通讯录!$A$19:$F$43</definedName>
    <definedName name="ExternalData_1008" localSheetId="0">通讯录!$A$19:$F$20</definedName>
    <definedName name="ExternalData_1009" localSheetId="0">通讯录!$A$19:$H$29</definedName>
    <definedName name="ExternalData_1010" localSheetId="0">通讯录!$A$19:$H$29</definedName>
    <definedName name="ExternalData_1011" localSheetId="0">通讯录!$A$19:$H$29</definedName>
    <definedName name="ExternalData_1012" localSheetId="0">通讯录!$A$19:$AP$159</definedName>
    <definedName name="ExternalData_1013" localSheetId="0">通讯录!$A$19:$AP$159</definedName>
    <definedName name="ExternalData_1014" localSheetId="0">通讯录!$A$19:$G$159</definedName>
    <definedName name="ExternalData_1015" localSheetId="0">通讯录!$A$19:$AP$159</definedName>
    <definedName name="ExternalData_1016" localSheetId="0">通讯录!$A$19:$H$159</definedName>
    <definedName name="ExternalData_1017" localSheetId="0">通讯录!$A$19:$H$159</definedName>
    <definedName name="ExternalData_1018" localSheetId="0">通讯录!$A$19:$H$161</definedName>
    <definedName name="ExternalData_1019" localSheetId="0">通讯录!$A$19:$H$161</definedName>
    <definedName name="ExternalData_989" localSheetId="0">通讯录!$A$19:$H$29</definedName>
    <definedName name="ExternalData_990" localSheetId="0">通讯录!$A$19:$H$29</definedName>
    <definedName name="ExternalData_991" localSheetId="0">通讯录!$A$19:$H$29</definedName>
    <definedName name="ExternalData_992" localSheetId="0">通讯录!$A$19:$A$23</definedName>
    <definedName name="ExternalData_993" localSheetId="0">通讯录!$A$19:$G$20</definedName>
    <definedName name="ExternalData_994" localSheetId="0">通讯录!$A$19:$H$29</definedName>
    <definedName name="ExternalData_995" localSheetId="0">通讯录!$A$19:$H$29</definedName>
    <definedName name="ExternalData_996" localSheetId="0">通讯录!$A$19:$H$28</definedName>
    <definedName name="ExternalData_997" localSheetId="0">通讯录!$A$19:$H$29</definedName>
    <definedName name="ExternalData_998" localSheetId="0">通讯录!$A$19:$H$29</definedName>
    <definedName name="ExternalData_999" localSheetId="0">通讯录!$A$19:$H$29</definedName>
  </definedNames>
  <calcPr calcId="144525"/>
</workbook>
</file>

<file path=xl/calcChain.xml><?xml version="1.0" encoding="utf-8"?>
<calcChain xmlns="http://schemas.openxmlformats.org/spreadsheetml/2006/main">
  <c r="B23" i="15" l="1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22" i="15"/>
  <c r="B2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B29" i="5"/>
  <c r="E29" i="5"/>
  <c r="B30" i="5"/>
  <c r="E30" i="5"/>
  <c r="E23" i="5" l="1"/>
  <c r="E24" i="5"/>
  <c r="E25" i="5"/>
  <c r="E26" i="5"/>
  <c r="E27" i="5"/>
  <c r="E28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22" i="5"/>
  <c r="E21" i="5"/>
  <c r="E22" i="13" l="1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21" i="13"/>
  <c r="C5" i="12" l="1"/>
  <c r="F5" i="12"/>
  <c r="F4" i="12"/>
  <c r="F3" i="12"/>
  <c r="F1" i="12"/>
  <c r="C1" i="12"/>
  <c r="B22" i="13" l="1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21" i="13"/>
  <c r="B22" i="1" l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B21" i="1"/>
  <c r="B22" i="5" l="1"/>
  <c r="B23" i="5"/>
  <c r="B24" i="5"/>
  <c r="B25" i="5"/>
  <c r="B26" i="5"/>
  <c r="B27" i="5"/>
  <c r="B28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21" i="5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2" type="4" refreshedVersion="4" deleted="1" background="1" saveData="1">
    <webPr xl2000="1" htmlTables="1" htmlFormat="all"/>
  </connection>
  <connection id="4" name="连接3" type="4" refreshedVersion="0" deleted="1" background="1" saveData="1">
    <webPr htmlTables="1" htmlFormat="all"/>
  </connection>
  <connection id="5" name="连接4" type="4" refreshedVersion="0" deleted="1" background="1" saveData="1">
    <webPr htmlTables="1" htmlFormat="all"/>
  </connection>
  <connection id="6" name="连接5" type="4" refreshedVersion="0" deleted="1" background="1" saveData="1">
    <webPr htmlTables="1" htmlFormat="all"/>
  </connection>
  <connection id="7" name="连接6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<sst xmlns="http://schemas.openxmlformats.org/spreadsheetml/2006/main" count="240" uniqueCount="151">
  <si>
    <t>老黄牛啊，你好。</t>
    <phoneticPr fontId="2" type="noConversion"/>
  </si>
  <si>
    <t>小黄牛，你好。</t>
    <phoneticPr fontId="2" type="noConversion"/>
  </si>
  <si>
    <t>小黄牛的内容</t>
    <phoneticPr fontId="2" type="noConversion"/>
  </si>
  <si>
    <t>老黄牛的内容</t>
    <phoneticPr fontId="2" type="noConversion"/>
  </si>
  <si>
    <t>c:\11.png</t>
    <phoneticPr fontId="2" type="noConversion"/>
  </si>
  <si>
    <t>c:\22.png</t>
    <phoneticPr fontId="2" type="noConversion"/>
  </si>
  <si>
    <t>脚本内容</t>
    <phoneticPr fontId="2" type="noConversion"/>
  </si>
  <si>
    <t>文件名</t>
    <phoneticPr fontId="2" type="noConversion"/>
  </si>
  <si>
    <t>执行VBS.vbs</t>
    <phoneticPr fontId="2" type="noConversion"/>
  </si>
  <si>
    <t>发送对象</t>
    <phoneticPr fontId="2" type="noConversion"/>
  </si>
  <si>
    <t>邮件标题</t>
    <phoneticPr fontId="2" type="noConversion"/>
  </si>
  <si>
    <t>邮件内容</t>
    <phoneticPr fontId="2" type="noConversion"/>
  </si>
  <si>
    <t>附件</t>
    <phoneticPr fontId="2" type="noConversion"/>
  </si>
  <si>
    <t>脚本内容1</t>
    <phoneticPr fontId="2" type="noConversion"/>
  </si>
  <si>
    <t>初始内容</t>
    <phoneticPr fontId="2" type="noConversion"/>
  </si>
  <si>
    <t>数据表名</t>
  </si>
  <si>
    <t>等于</t>
  </si>
  <si>
    <t>查看密码</t>
  </si>
  <si>
    <t>姓名字段</t>
  </si>
  <si>
    <t>下载网址</t>
  </si>
  <si>
    <t>上传密码</t>
  </si>
  <si>
    <t>提示字段</t>
  </si>
  <si>
    <t>d1</t>
  </si>
  <si>
    <t>用户名</t>
  </si>
  <si>
    <t>ID字段</t>
  </si>
  <si>
    <t>用户密码</t>
  </si>
  <si>
    <t>缩略显示</t>
  </si>
  <si>
    <t>查询网址</t>
  </si>
  <si>
    <t>分类字段</t>
  </si>
  <si>
    <t>自动下载文件</t>
  </si>
  <si>
    <t>文件名命名规则</t>
  </si>
  <si>
    <t>下载区</t>
  </si>
  <si>
    <t>上传区</t>
  </si>
  <si>
    <t>d2</t>
  </si>
  <si>
    <t>d7</t>
  </si>
  <si>
    <t>d8</t>
  </si>
  <si>
    <t>d17</t>
  </si>
  <si>
    <t>d21</t>
  </si>
  <si>
    <t>d29</t>
  </si>
  <si>
    <t>d33</t>
  </si>
  <si>
    <t>工号</t>
  </si>
  <si>
    <t>姓名</t>
  </si>
  <si>
    <t>手机长号</t>
  </si>
  <si>
    <t>手机短号</t>
  </si>
  <si>
    <t>QQ</t>
  </si>
  <si>
    <t>邮箱</t>
  </si>
  <si>
    <t>王进利</t>
  </si>
  <si>
    <t>自动清空上传密码、用户密码</t>
    <phoneticPr fontId="2" type="noConversion"/>
  </si>
  <si>
    <t>复制到数据表</t>
    <phoneticPr fontId="2" type="noConversion"/>
  </si>
  <si>
    <t>复制到单元格</t>
    <phoneticPr fontId="2" type="noConversion"/>
  </si>
  <si>
    <t>密码区</t>
    <phoneticPr fontId="2" type="noConversion"/>
  </si>
  <si>
    <t>位置固定</t>
    <phoneticPr fontId="2" type="noConversion"/>
  </si>
  <si>
    <t>本地参数</t>
    <phoneticPr fontId="2" type="noConversion"/>
  </si>
  <si>
    <t>显示字段</t>
  </si>
  <si>
    <t>王进利</t>
    <phoneticPr fontId="2" type="noConversion"/>
  </si>
  <si>
    <t>QQ号</t>
    <phoneticPr fontId="2" type="noConversion"/>
  </si>
  <si>
    <t>老师，您好。科研处反馈，省哲社申报时格式要求较严，请检查以下地方：</t>
    <phoneticPr fontId="2" type="noConversion"/>
  </si>
  <si>
    <t>http://rw.r34.cc/index.php/Qwadmin/RwxyCom/echoteacherdb?conall=%E6%95%B0%E6%8D%AE%E8%A1%A8%E5%90%8D%E7%AD%89%E4%BA%8E%E4%BA%BA%E6%96%87%E6%95%99%E5%B8%88%E4%BF%A1%E6%81%AF%3B%E6%98%BE%E7%A4%BA%E5%AD%97%E6%AE%B5%E7%AD%89%E4%BA%8Ed2%2Cd1%2Cd7%2Cd8%2Cd29%2Cd33%2Cd17%2Cd21%3B%E4%B8%8B%E8%BD%BD%E5%8C%BA%E4%B8%8B%E8%BD%BD%E5%8C%BA%E4%B8%8B%E8%BD%BD%E5%8C%BA%3B%E6%9F%A5%E7%9C%8B%E5%AF%86%E7%A0%81%E7%AD%89%E4%BA%8Erwxy85137052%3B%E4%B8%8A%E4%BC%A0%E5%AF%86%E7%A0%81%E7%AD%89%E4%BA%8E%3B%E7%94%A8%E6%88%B7%E5%90%8D%E7%AD%89%E4%BA%8E2013014%3B%E7%94%A8%E6%88%B7%E5%AF%86%E7%A0%81%E7%AD%89%E4%BA%8E53053067%3B%E6%9F%A5%E8%AF%A2%E7%BD%91%E5%9D%80%E7%AD%89%E4%BA%8Ehttp%3A%2F%2Frw%2Er34%2Ecc%3B%E5%AF%86%E7%A0%81%E5%8C%BA%E7%AD%89%E4%BA%8E%E4%BD%8D%E7%BD%AE%E5%9B%BA%E5%AE%9A%3B%E5%A7%93%E5%90%8D%E5%AD%97%E6%AE%B5%E7%AD%89%E4%BA%8Ed2%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  <phoneticPr fontId="2" type="noConversion"/>
  </si>
  <si>
    <t>小黄牛</t>
  </si>
  <si>
    <t>小黄牛</t>
    <phoneticPr fontId="2" type="noConversion"/>
  </si>
  <si>
    <t>姓名</t>
    <phoneticPr fontId="2" type="noConversion"/>
  </si>
  <si>
    <t>整合后面文本</t>
    <phoneticPr fontId="2" type="noConversion"/>
  </si>
  <si>
    <t xml:space="preserve">function Send_mail(You_Account,You_Password,Send_Email,Send_Email2,Send_Topic,Send_Body,Send_Attachment)  
You_ID=Split(You_Account, "@", -1, vbTextCompare)  
'帐号和服务器分离 
MS_Space = "http://schemas.microsoft.com/cdo/configuration/" 
'这个是必须要的，不过可以放心的事，不会通过微软发送邮件 
Set Email = CreateObject("CDO.Message") 
Email.From = You_Account 
'这个一定要和发送邮件的帐号一样 
Email.To = Send_Email         '主要邮件地址 
If Send_Email2 &lt;&gt; "" Then 
Email.CC = Send_Email2        '备用邮件地址 
End If 
Email.Subject = Send_Topic        '邮件主题 
Email.Textbody = Send_Body        '邮件内容 
If Send_Attachment &lt;&gt; "" Then 
Email.AddAttachment Send_Attachment     '邮件附件 
End If 
With Email.Configuration.Fields 
.Item(MS_Space&amp;"sendusing") = 2       '发信端口 
.Item(MS_Space&amp;"smtpserver") = "smtp."&amp;You_ID(1) 'SMTP服务器地址 
.Item(MS_Space&amp;"smtpserverport") = 25     'SMTP服务器端口 
.Item(MS_Space&amp;"smtpauthenticate") = 1     'cdobasec 
.Item(MS_Space&amp;"sendusername") = You_ID(0)    '你的邮件帐号 
.Item(MS_Space&amp;"sendpassword") = You_Password   '你的邮件密码 
.Update 
End With 
Email.Send 
'发送邮件 
Set Email=Nothing 
'关闭组件 
Send_Mail=True  
'如果没有任何错误信息，则表示发送成功,否则发送失败  
If Err Then  
Err.Clear  
Send_Mail=False  
End If  
End Function 
</t>
    <phoneticPr fontId="2" type="noConversion"/>
  </si>
  <si>
    <t>王进利</t>
    <phoneticPr fontId="2" type="noConversion"/>
  </si>
  <si>
    <t>姓名</t>
    <phoneticPr fontId="2" type="noConversion"/>
  </si>
  <si>
    <t>手机号</t>
    <phoneticPr fontId="2" type="noConversion"/>
  </si>
  <si>
    <t>高校通用户名</t>
  </si>
  <si>
    <t>高校通密码</t>
  </si>
  <si>
    <t>187277552@qq.com</t>
  </si>
  <si>
    <t>参数51</t>
    <phoneticPr fontId="2" type="noConversion"/>
  </si>
  <si>
    <t>参数52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</si>
  <si>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</si>
  <si>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</si>
  <si>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</si>
  <si>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</si>
  <si>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</si>
  <si>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</si>
  <si>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</si>
  <si>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</si>
  <si>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</si>
  <si>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</si>
  <si>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</si>
  <si>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</si>
  <si>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</si>
  <si>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</si>
  <si>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</si>
  <si>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</si>
  <si>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</si>
  <si>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</si>
  <si>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</si>
  <si>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</si>
  <si>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</si>
  <si>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</si>
  <si>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</si>
  <si>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</si>
  <si>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</si>
  <si>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</si>
  <si>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</si>
  <si>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</si>
  <si>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邮箱帐号</t>
  </si>
  <si>
    <t>邮箱密码</t>
    <phoneticPr fontId="2" type="noConversion"/>
  </si>
  <si>
    <t>密码区填写密码</t>
    <phoneticPr fontId="2" type="noConversion"/>
  </si>
  <si>
    <t>高校通的帐号密码，我只在浙江测试</t>
    <phoneticPr fontId="2" type="noConversion"/>
  </si>
  <si>
    <t>邮箱必须支持smtp，我用163的邮箱</t>
    <phoneticPr fontId="2" type="noConversion"/>
  </si>
  <si>
    <t>老师，测试222.</t>
    <phoneticPr fontId="2" type="noConversion"/>
  </si>
  <si>
    <t>参数01</t>
    <phoneticPr fontId="2" type="noConversion"/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</si>
  <si>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</si>
  <si>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</si>
  <si>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</si>
  <si>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</si>
  <si>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</si>
  <si>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</si>
  <si>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</si>
  <si>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</si>
  <si>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</si>
  <si>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</si>
  <si>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</si>
  <si>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</si>
  <si>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</si>
  <si>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</si>
  <si>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双击发送</t>
    <phoneticPr fontId="2" type="noConversion"/>
  </si>
  <si>
    <t>常用代码</t>
    <phoneticPr fontId="2" type="noConversion"/>
  </si>
  <si>
    <t>高校通发短信</t>
    <phoneticPr fontId="2" type="noConversion"/>
  </si>
  <si>
    <t>高校通发短信（先加白名单）</t>
    <phoneticPr fontId="2" type="noConversion"/>
  </si>
  <si>
    <t>QQ发送消息</t>
    <phoneticPr fontId="2" type="noConversion"/>
  </si>
  <si>
    <t>QQ只激活聊天窗口</t>
    <phoneticPr fontId="2" type="noConversion"/>
  </si>
  <si>
    <t>QQ激活聊天复制文字</t>
    <phoneticPr fontId="2" type="noConversion"/>
  </si>
  <si>
    <t>QQ弹窗才发送消息</t>
    <phoneticPr fontId="2" type="noConversion"/>
  </si>
  <si>
    <t xml:space="preserve">rem 正在执行 参数01
Set Sh = WScript.CreateObject("WScript.Shell")
'执行发送高校通短信
Sh.Run "http://www.gxtcn.com/interface.php?action=sms&amp;operation=send&amp;schoolid=70&amp;username=参数60&amp;password=参数61&amp;servicecode=yx&amp;mobile=参数02&amp;content=参数05", 1 
WScript.Sleep 10000
set Sh=nothing </t>
  </si>
  <si>
    <t xml:space="preserve">rem 正在执行 参数01
Set Sh = WScript.CreateObject("WScript.Shell")
'加入白名单
Sh.Run "http://www.gxtcn.com/interface.php?action=sms&amp;operation=whitelist&amp;schoolid=70&amp;username=参数60&amp;password=参数61&amp;mobile=参数02", 1
'执行发送高校通短信
Sh.Run "http://www.gxtcn.com/interface.php?action=sms&amp;operation=send&amp;schoolid=70&amp;username=参数60&amp;password=参数61&amp;servicecode=yx&amp;mobile=参数02&amp;content=参数05", 1 
WScript.Sleep 10000
set Sh=nothing </t>
  </si>
  <si>
    <t xml:space="preserve">rem  ---------参数01的代码块---------
CreateObject("Wscript.Shell")
url="tencent://message/?uin=参数02&amp;Site=LG&amp;Menu=yes"
set wss=createobject("Wscript.shell")
wss.run url
</t>
  </si>
  <si>
    <t xml:space="preserve">rem  ---------参数01的代码块---------
CreateObject("Wscript.Shell")
url="tencent://message/?uin=参数02&amp;Site=LG&amp;Menu=yes"
set wss=createobject("Wscript.shell")
wss.run url
'写入信息到剪切板
Set Word = CreateObject("Word.Application")
Word.Documents.Add
Word.Selection.Text = "参数03"
Word.Selection.Copy
Word.Quit False'获取剪切板的内容
Set Word= Nothing
set ws=wscript.createobject("wscript.shell")
'粘贴文字
wscript.sleep 1500
ws.sendKeys "^v"
Set wss= Nothing
Set ws= Nothing
</t>
    <phoneticPr fontId="2" type="noConversion"/>
  </si>
  <si>
    <t xml:space="preserve">rem  ---------参数01的代码块---------
CreateObject("Wscript.Shell")
url="tencent://message/?uin=参数02&amp;Site=LG&amp;Menu=yes"
set wss=createobject("Wscript.shell")
wss.run url
'写入信息到剪切板
Set Word = CreateObject("Word.Application")
Word.Documents.Add
Word.Selection.Text = "参数03"
Word.Selection.Copy
Word.Quit False'获取剪切板的内容
Set Word= Nothing
set ws=wscript.createobject("wscript.shell")
'粘贴文字
wscript.sleep 1500
ws.sendKeys "^v"
wscript.sleep 1500
ws.sendkeys "{enter}"
Set wss= Nothing
Set ws= Nothing
</t>
    <phoneticPr fontId="2" type="noConversion"/>
  </si>
  <si>
    <t xml:space="preserve">rem  ---------参数01的代码块---------
CreateObject("Wscript.Shell")
url="tencent://message/?uin=参数02&amp;Site=LG&amp;Menu=yes"
set wss=createobject("Wscript.shell")
wss.run url
'写入信息到剪切板
Set Word = CreateObject("Word.Application")
Word.Documents.Add
Word.Selection.Text = "参数03"
Word.Selection.Copy
Word.Quit False'获取剪切板的内容
Set Word= Nothing
set ws=wscript.createobject("wscript.shell")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wss= Nothing
Set ws= Nothing
</t>
    <phoneticPr fontId="2" type="noConversion"/>
  </si>
  <si>
    <t>执行操作</t>
    <phoneticPr fontId="2" type="noConversion"/>
  </si>
  <si>
    <t>双击发送</t>
    <phoneticPr fontId="2" type="noConversion"/>
  </si>
  <si>
    <t>小黄牛</t>
    <phoneticPr fontId="2" type="noConversion"/>
  </si>
  <si>
    <t>微信号</t>
    <phoneticPr fontId="2" type="noConversion"/>
  </si>
  <si>
    <t>微信号</t>
    <phoneticPr fontId="2" type="noConversion"/>
  </si>
  <si>
    <t xml:space="preserve">rem  ---------参数01的代码块---------
CreateObject("Wscript.Shell")
url="tencent://message/?uin=参数02&amp;Site=LG&amp;Menu=yes"
set wss=createobject("Wscript.shell")
wss.run url
'写入信息到剪切板
Set Word = CreateObject("Word.Application")
Word.Documents.Add
Word.Selection.Text = "参数05"
Word.Selection.Copy
Word.Quit False'获取剪切板的内容
Set Word= Nothing
set ws=wscript.createobject("wscript.shell")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wss= Nothing
Set ws= Nothing
</t>
    <phoneticPr fontId="2" type="noConversion"/>
  </si>
  <si>
    <t xml:space="preserve">rem 正在执行 参数01
Set Sh = WScript.CreateObject("WScript.Shell")
'加入白名单
Sh.Run "http://www.gxtcn.com/interface.php?action=sms&amp;operation=whitelist&amp;schoolid=70&amp;username=参数60&amp;password=参数61&amp;mobile=参数02", 1
'执行发送高校通短信
Sh.Run "http://www.gxtcn.com/interface.php?action=sms&amp;operation=send&amp;schoolid=70&amp;username=参数60&amp;password=参数61&amp;servicecode=yx&amp;mobile=参数02&amp;content=参数05", 1 
WScript.Sleep 10000
set Sh=nothing </t>
    <phoneticPr fontId="2" type="noConversion"/>
  </si>
  <si>
    <t xml:space="preserve">rem ----------------参数03----------------------
If Send_Mail("参数64","参数65","参数02","","参数05","参数06","参数07")=True Then 
Wscript.Echo "参数01" &amp; "发送成功" 
Else 
Wscript.Echo "参数01" &amp; "发送失败" 
End If 
</t>
    <phoneticPr fontId="2" type="noConversion"/>
  </si>
  <si>
    <t>黄牛小号</t>
    <phoneticPr fontId="2" type="noConversion"/>
  </si>
  <si>
    <t>老黄牛小号</t>
    <phoneticPr fontId="2" type="noConversion"/>
  </si>
  <si>
    <t>鲁大前</t>
    <phoneticPr fontId="2" type="noConversion"/>
  </si>
  <si>
    <t>小黄牛</t>
    <phoneticPr fontId="2" type="noConversion"/>
  </si>
  <si>
    <t>王进利</t>
    <phoneticPr fontId="2" type="noConversion"/>
  </si>
  <si>
    <t>王进利</t>
    <phoneticPr fontId="2" type="noConversion"/>
  </si>
  <si>
    <t>53053067@qq.com</t>
    <phoneticPr fontId="2" type="noConversion"/>
  </si>
  <si>
    <t>rem 正在执行 参数01
Name= "参数02"
Msg = "参数05"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200
ws.Run "mshta vbscript:ClipboardData.SetData("&amp;chr(34)&amp;"text"&amp;chr(34)&amp;"," &amp;Chr(34)&amp; Msg &amp;Chr(34)&amp; ")(close)",0,True
wscript.sleep 500
ws.sendKeys "^v"
wscript.sleep 300
ws.sendKeys "{ENTER}"
Set ws= Nothing</t>
    <phoneticPr fontId="2" type="noConversion"/>
  </si>
  <si>
    <t>Dim Name,Msg
set ws2=wscript.createobject("wscript.shell")
ws2.appactivate "微信"
ws2.sendKeys "^%w"
Set ws2= Nothing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</si>
</sst>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3" tint="0.39979247413556324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333333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3" fillId="0" borderId="0">
      <alignment vertical="center"/>
    </xf>
  </cellStyleXfs>
  <cellXfs count="73">
    <xf numFmtId="0" fontId="0" fillId="0" borderId="0" xfId="0"/>
    <xf numFmtId="0" fontId="0" fillId="0" borderId="0" xfId="0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/>
    <xf numFmtId="0" fontId="3" fillId="0" borderId="0" xfId="0" applyFont="1" applyFill="1" applyBorder="1" applyAlignment="1">
      <alignment vertical="center"/>
    </xf>
    <xf numFmtId="0" fontId="0" fillId="0" borderId="1" xfId="0" applyNumberFormat="1" applyBorder="1" applyAlignment="1">
      <alignment horizontal="center" vertical="center" shrinkToFit="1"/>
    </xf>
    <xf numFmtId="0" fontId="0" fillId="0" borderId="2" xfId="0" applyNumberFormat="1" applyFont="1" applyBorder="1" applyAlignment="1">
      <alignment horizontal="center" vertical="center" shrinkToFit="1"/>
    </xf>
    <xf numFmtId="0" fontId="3" fillId="3" borderId="3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6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7" fillId="0" borderId="3" xfId="0" applyNumberFormat="1" applyFont="1" applyFill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4" xfId="0" applyNumberFormat="1" applyFont="1" applyFill="1" applyBorder="1" applyAlignment="1">
      <alignment horizontal="center" vertical="center" shrinkToFit="1"/>
    </xf>
    <xf numFmtId="0" fontId="3" fillId="0" borderId="5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3" fillId="0" borderId="4" xfId="0" applyNumberFormat="1" applyFont="1" applyBorder="1" applyAlignment="1">
      <alignment horizontal="center" vertical="center" shrinkToFit="1"/>
    </xf>
    <xf numFmtId="0" fontId="3" fillId="0" borderId="5" xfId="0" applyNumberFormat="1" applyFont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shrinkToFit="1"/>
    </xf>
    <xf numFmtId="0" fontId="6" fillId="0" borderId="4" xfId="0" applyNumberFormat="1" applyFont="1" applyFill="1" applyBorder="1" applyAlignment="1">
      <alignment horizontal="center" vertical="center" shrinkToFit="1"/>
    </xf>
    <xf numFmtId="0" fontId="3" fillId="0" borderId="5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5" xfId="0" applyNumberFormat="1" applyFont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shrinkToFit="1"/>
    </xf>
    <xf numFmtId="0" fontId="8" fillId="0" borderId="5" xfId="0" applyNumberFormat="1" applyFont="1" applyFill="1" applyBorder="1" applyAlignment="1">
      <alignment horizontal="center" vertical="center" shrinkToFit="1"/>
    </xf>
    <xf numFmtId="0" fontId="0" fillId="0" borderId="4" xfId="0" applyNumberFormat="1" applyFill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0" fillId="0" borderId="4" xfId="0" applyNumberFormat="1" applyBorder="1" applyAlignment="1">
      <alignment horizontal="center"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5" xfId="0" applyNumberFormat="1" applyBorder="1" applyAlignment="1">
      <alignment vertical="center" shrinkToFit="1"/>
    </xf>
    <xf numFmtId="0" fontId="3" fillId="0" borderId="6" xfId="0" applyNumberFormat="1" applyFont="1" applyBorder="1" applyAlignment="1">
      <alignment horizontal="center" vertical="center" shrinkToFit="1"/>
    </xf>
    <xf numFmtId="0" fontId="3" fillId="0" borderId="7" xfId="0" applyNumberFormat="1" applyFont="1" applyBorder="1" applyAlignment="1">
      <alignment horizontal="center" vertical="center" shrinkToFit="1"/>
    </xf>
    <xf numFmtId="0" fontId="6" fillId="0" borderId="7" xfId="0" applyNumberFormat="1" applyFont="1" applyBorder="1" applyAlignment="1">
      <alignment horizontal="center" vertical="center" shrinkToFit="1"/>
    </xf>
    <xf numFmtId="0" fontId="3" fillId="0" borderId="7" xfId="0" applyNumberFormat="1" applyFont="1" applyFill="1" applyBorder="1" applyAlignment="1">
      <alignment horizontal="center" vertical="center" shrinkToFit="1"/>
    </xf>
    <xf numFmtId="0" fontId="9" fillId="0" borderId="0" xfId="0" applyNumberFormat="1" applyFont="1" applyAlignment="1" applyProtection="1">
      <alignment horizontal="center" vertical="center" wrapText="1"/>
    </xf>
    <xf numFmtId="0" fontId="9" fillId="0" borderId="0" xfId="0" applyNumberFormat="1" applyFont="1" applyFill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 shrinkToFit="1"/>
    </xf>
    <xf numFmtId="0" fontId="9" fillId="4" borderId="0" xfId="0" applyNumberFormat="1" applyFont="1" applyFill="1" applyBorder="1" applyAlignment="1">
      <alignment horizontal="center" vertical="center" wrapText="1" shrinkToFit="1"/>
    </xf>
    <xf numFmtId="0" fontId="9" fillId="0" borderId="8" xfId="0" applyNumberFormat="1" applyFont="1" applyFill="1" applyBorder="1" applyAlignment="1">
      <alignment horizontal="center" vertical="center" shrinkToFit="1"/>
    </xf>
    <xf numFmtId="0" fontId="9" fillId="0" borderId="0" xfId="0" applyNumberFormat="1" applyFont="1" applyBorder="1" applyAlignment="1" applyProtection="1">
      <alignment horizontal="center" vertical="center" shrinkToFit="1"/>
    </xf>
    <xf numFmtId="0" fontId="9" fillId="0" borderId="0" xfId="0" applyNumberFormat="1" applyFont="1" applyFill="1" applyAlignment="1">
      <alignment horizontal="center" vertical="center" shrinkToFit="1"/>
    </xf>
    <xf numFmtId="0" fontId="9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9" fillId="0" borderId="8" xfId="0" applyNumberFormat="1" applyFont="1" applyFill="1" applyBorder="1" applyAlignment="1" applyProtection="1">
      <alignment horizontal="center" vertical="center" shrinkToFit="1"/>
    </xf>
    <xf numFmtId="0" fontId="9" fillId="0" borderId="0" xfId="0" applyNumberFormat="1" applyFont="1" applyAlignment="1">
      <alignment horizontal="center" vertical="center" shrinkToFit="1"/>
    </xf>
    <xf numFmtId="0" fontId="3" fillId="0" borderId="4" xfId="0" applyNumberFormat="1" applyFont="1" applyFill="1" applyBorder="1" applyAlignment="1">
      <alignment horizontal="center" vertical="center" shrinkToFit="1"/>
    </xf>
    <xf numFmtId="0" fontId="4" fillId="0" borderId="5" xfId="1" applyNumberFormat="1" applyBorder="1" applyAlignment="1">
      <alignment vertical="center" shrinkToFit="1"/>
    </xf>
    <xf numFmtId="0" fontId="9" fillId="0" borderId="8" xfId="0" applyNumberFormat="1" applyFont="1" applyBorder="1" applyAlignment="1" applyProtection="1">
      <alignment horizontal="center" vertical="center" shrinkToFit="1"/>
    </xf>
    <xf numFmtId="0" fontId="12" fillId="5" borderId="0" xfId="0" applyFont="1" applyFill="1" applyBorder="1" applyAlignment="1">
      <alignment vertical="center"/>
    </xf>
    <xf numFmtId="0" fontId="9" fillId="0" borderId="0" xfId="1" applyNumberFormat="1" applyFont="1" applyAlignment="1">
      <alignment horizontal="center" vertical="center" shrinkToFit="1"/>
    </xf>
    <xf numFmtId="0" fontId="6" fillId="0" borderId="0" xfId="0" applyNumberFormat="1" applyFont="1" applyFill="1" applyBorder="1" applyAlignment="1">
      <alignment horizontal="left" vertical="center"/>
    </xf>
    <xf numFmtId="0" fontId="0" fillId="5" borderId="0" xfId="0" applyFill="1"/>
    <xf numFmtId="0" fontId="4" fillId="5" borderId="0" xfId="1" applyFill="1"/>
    <xf numFmtId="0" fontId="0" fillId="5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3" fillId="0" borderId="8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Alignment="1">
      <alignment horizontal="center" vertical="center" shrinkToFit="1"/>
    </xf>
    <xf numFmtId="0" fontId="13" fillId="0" borderId="8" xfId="0" applyNumberFormat="1" applyFont="1" applyBorder="1" applyAlignment="1">
      <alignment horizontal="center" vertical="center" shrinkToFit="1"/>
    </xf>
    <xf numFmtId="0" fontId="9" fillId="0" borderId="8" xfId="0" applyNumberFormat="1" applyFont="1" applyBorder="1" applyAlignment="1">
      <alignment horizontal="center" vertical="center" shrinkToFit="1"/>
    </xf>
    <xf numFmtId="0" fontId="4" fillId="0" borderId="8" xfId="1" applyNumberFormat="1" applyBorder="1" applyAlignment="1">
      <alignment horizontal="center" vertical="center" shrinkToFit="1"/>
    </xf>
    <xf numFmtId="0" fontId="9" fillId="0" borderId="8" xfId="1" applyNumberFormat="1" applyFont="1" applyBorder="1" applyAlignment="1">
      <alignment horizontal="center" vertical="center" shrinkToFit="1"/>
    </xf>
    <xf numFmtId="0" fontId="0" fillId="0" borderId="0" xfId="0" applyFill="1" applyBorder="1" applyAlignment="1">
      <alignment horizontal="left" vertical="top" wrapText="1"/>
    </xf>
    <xf numFmtId="0" fontId="0" fillId="6" borderId="0" xfId="0" applyFill="1" applyBorder="1" applyAlignment="1">
      <alignment horizontal="left" vertical="top" wrapText="1"/>
    </xf>
    <xf numFmtId="0" fontId="0" fillId="0" borderId="0" xfId="0" quotePrefix="1" applyFill="1" applyBorder="1" applyAlignment="1">
      <alignment horizontal="left" vertical="top" wrapText="1"/>
    </xf>
  </cellXfs>
  <cellStyles count="3">
    <cellStyle name="常规" xfId="0" builtinId="0"/>
    <cellStyle name="常规 3" xfId="2"/>
    <cellStyle name="超链接" xfId="1" builtinId="8"/>
  </cellStyles>
  <dxfs count="2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0</xdr:row>
          <xdr:rowOff>0</xdr:rowOff>
        </xdr:from>
        <xdr:to>
          <xdr:col>7</xdr:col>
          <xdr:colOff>213360</xdr:colOff>
          <xdr:row>0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1386840</xdr:colOff>
          <xdr:row>0</xdr:row>
          <xdr:rowOff>0</xdr:rowOff>
        </xdr:from>
        <xdr:to>
          <xdr:col>4</xdr:col>
          <xdr:colOff>2057400</xdr:colOff>
          <xdr:row>0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发送第一人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2484120</xdr:colOff>
          <xdr:row>0</xdr:row>
          <xdr:rowOff>0</xdr:rowOff>
        </xdr:from>
        <xdr:to>
          <xdr:col>5</xdr:col>
          <xdr:colOff>297180</xdr:colOff>
          <xdr:row>0</xdr:row>
          <xdr:rowOff>419100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发送给所有人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563880</xdr:colOff>
          <xdr:row>0</xdr:row>
          <xdr:rowOff>0</xdr:rowOff>
        </xdr:from>
        <xdr:to>
          <xdr:col>6</xdr:col>
          <xdr:colOff>419100</xdr:colOff>
          <xdr:row>0</xdr:row>
          <xdr:rowOff>411480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批量替换并生成文件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1234440</xdr:colOff>
          <xdr:row>0</xdr:row>
          <xdr:rowOff>0</xdr:rowOff>
        </xdr:from>
        <xdr:to>
          <xdr:col>4</xdr:col>
          <xdr:colOff>1905000</xdr:colOff>
          <xdr:row>0</xdr:row>
          <xdr:rowOff>419100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发送第一人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2331720</xdr:colOff>
          <xdr:row>0</xdr:row>
          <xdr:rowOff>0</xdr:rowOff>
        </xdr:from>
        <xdr:to>
          <xdr:col>5</xdr:col>
          <xdr:colOff>198120</xdr:colOff>
          <xdr:row>0</xdr:row>
          <xdr:rowOff>419100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发送给所有人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464820</xdr:colOff>
          <xdr:row>0</xdr:row>
          <xdr:rowOff>0</xdr:rowOff>
        </xdr:from>
        <xdr:to>
          <xdr:col>6</xdr:col>
          <xdr:colOff>723900</xdr:colOff>
          <xdr:row>0</xdr:row>
          <xdr:rowOff>411480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批量替换并生成文件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1234440</xdr:colOff>
          <xdr:row>0</xdr:row>
          <xdr:rowOff>0</xdr:rowOff>
        </xdr:from>
        <xdr:to>
          <xdr:col>4</xdr:col>
          <xdr:colOff>1905000</xdr:colOff>
          <xdr:row>0</xdr:row>
          <xdr:rowOff>419100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发送第一人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2331720</xdr:colOff>
          <xdr:row>0</xdr:row>
          <xdr:rowOff>0</xdr:rowOff>
        </xdr:from>
        <xdr:to>
          <xdr:col>5</xdr:col>
          <xdr:colOff>198120</xdr:colOff>
          <xdr:row>0</xdr:row>
          <xdr:rowOff>419100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发送给所有人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464820</xdr:colOff>
          <xdr:row>0</xdr:row>
          <xdr:rowOff>0</xdr:rowOff>
        </xdr:from>
        <xdr:to>
          <xdr:col>6</xdr:col>
          <xdr:colOff>723900</xdr:colOff>
          <xdr:row>0</xdr:row>
          <xdr:rowOff>411480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批量替换并生成文件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167640</xdr:colOff>
          <xdr:row>0</xdr:row>
          <xdr:rowOff>0</xdr:rowOff>
        </xdr:from>
        <xdr:to>
          <xdr:col>3</xdr:col>
          <xdr:colOff>838200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发送第一人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0</xdr:row>
          <xdr:rowOff>0</xdr:rowOff>
        </xdr:from>
        <xdr:to>
          <xdr:col>5</xdr:col>
          <xdr:colOff>7620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发送给所有人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274320</xdr:colOff>
          <xdr:row>0</xdr:row>
          <xdr:rowOff>0</xdr:rowOff>
        </xdr:from>
        <xdr:to>
          <xdr:col>5</xdr:col>
          <xdr:colOff>952500</xdr:colOff>
          <xdr:row>0</xdr:row>
          <xdr:rowOff>411480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批量替换并生成文件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018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15" adjustColumnWidth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12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003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014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90" adjustColumnWidth="0" connectionId="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00" adjustColumnWidth="0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008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2.xml><?xml version="1.0" encoding="utf-8"?>
<queryTable xmlns="http://schemas.openxmlformats.org/spreadsheetml/2006/main" name="ExternalData_1016" adjustColumnWidth="0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98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011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93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89" adjustColumnWidth="0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007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0.xml><?xml version="1.0" encoding="utf-8"?>
<queryTable xmlns="http://schemas.openxmlformats.org/spreadsheetml/2006/main" name="ExternalData_1010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009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019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13" adjustColumnWidth="0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99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004" adjustColumnWidth="0" connectionId="4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8.xml><?xml version="1.0" encoding="utf-8"?>
<queryTable xmlns="http://schemas.openxmlformats.org/spreadsheetml/2006/main" name="ExternalData_1006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005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17" adjustColumnWidth="0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" Type="http://schemas.openxmlformats.org/officeDocument/2006/relationships/printerSettings" Target="../printerSettings/printerSettings1.bin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comments" Target="../comments1.xml"/><Relationship Id="rId2" Type="http://schemas.openxmlformats.org/officeDocument/2006/relationships/hyperlink" Target="mailto:53053067@qq.com" TargetMode="External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29" Type="http://schemas.openxmlformats.org/officeDocument/2006/relationships/queryTable" Target="../queryTables/queryTable23.xml"/><Relationship Id="rId1" Type="http://schemas.openxmlformats.org/officeDocument/2006/relationships/hyperlink" Target="http://ts.r34.cc/" TargetMode="External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5" Type="http://schemas.openxmlformats.org/officeDocument/2006/relationships/vmlDrawing" Target="../drawings/vmlDrawing1.v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31" Type="http://schemas.openxmlformats.org/officeDocument/2006/relationships/queryTable" Target="../queryTables/queryTable25.xml"/><Relationship Id="rId4" Type="http://schemas.openxmlformats.org/officeDocument/2006/relationships/drawing" Target="../drawings/drawing1.x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V161"/>
  <sheetViews>
    <sheetView topLeftCell="A21" workbookViewId="0">
      <selection activeCell="F37" sqref="F37"/>
    </sheetView>
  </sheetViews>
  <sheetFormatPr defaultColWidth="9" defaultRowHeight="14.4"/>
  <cols>
    <col min="1" max="1" width="13.21875" style="15" customWidth="1"/>
    <col min="2" max="2" width="9" style="15" customWidth="1"/>
    <col min="3" max="3" width="12.77734375" style="15" customWidth="1"/>
    <col min="4" max="4" width="12.6640625" style="48" customWidth="1"/>
    <col min="5" max="5" width="13" style="15" customWidth="1"/>
    <col min="6" max="6" width="14.21875" style="15" customWidth="1"/>
    <col min="7" max="7" width="13.77734375" style="15" customWidth="1"/>
    <col min="8" max="8" width="15.33203125" style="15" customWidth="1"/>
    <col min="9" max="9" width="10.77734375" style="15" customWidth="1"/>
    <col min="10" max="10" width="14.21875" style="15" customWidth="1"/>
    <col min="11" max="11" width="2.44140625" style="15" customWidth="1"/>
    <col min="12" max="12" width="9.77734375" style="15" customWidth="1"/>
    <col min="13" max="13" width="14.109375" style="15" customWidth="1"/>
    <col min="14" max="14" width="11.77734375" style="15" customWidth="1"/>
    <col min="15" max="15" width="7.44140625" style="15" customWidth="1"/>
    <col min="16" max="16" width="8" style="15" customWidth="1"/>
    <col min="17" max="17" width="7.77734375" style="15" customWidth="1"/>
    <col min="18" max="18" width="6.33203125" style="15" customWidth="1"/>
    <col min="19" max="19" width="9" style="15"/>
    <col min="20" max="26" width="8.109375" style="15" customWidth="1"/>
    <col min="27" max="16384" width="9" style="15"/>
  </cols>
  <sheetData>
    <row r="1" spans="1:17" ht="15" hidden="1" thickBot="1">
      <c r="A1" s="10" t="s">
        <v>15</v>
      </c>
      <c r="B1" s="11" t="s">
        <v>16</v>
      </c>
      <c r="C1" s="12">
        <f>密码区!C1</f>
        <v>0</v>
      </c>
      <c r="D1" s="13"/>
      <c r="E1" s="14" t="s">
        <v>17</v>
      </c>
      <c r="F1" s="12">
        <f>密码区!C3</f>
        <v>0</v>
      </c>
      <c r="I1" s="14" t="s">
        <v>18</v>
      </c>
      <c r="J1" s="16" t="s">
        <v>33</v>
      </c>
      <c r="K1" s="17"/>
      <c r="L1" s="18" t="s">
        <v>19</v>
      </c>
      <c r="M1" s="19" t="s">
        <v>57</v>
      </c>
      <c r="N1" s="17"/>
      <c r="O1" s="17"/>
      <c r="P1" s="20"/>
    </row>
    <row r="2" spans="1:17" hidden="1">
      <c r="A2" s="21"/>
      <c r="B2" s="20"/>
      <c r="C2" s="22"/>
      <c r="D2" s="23"/>
      <c r="E2" s="14" t="s">
        <v>20</v>
      </c>
      <c r="F2" s="12"/>
      <c r="G2" s="20"/>
      <c r="H2" s="17"/>
      <c r="I2" s="14" t="s">
        <v>21</v>
      </c>
      <c r="J2" s="19" t="s">
        <v>22</v>
      </c>
      <c r="K2" s="17"/>
      <c r="L2" s="51" t="s">
        <v>47</v>
      </c>
      <c r="M2" s="24"/>
      <c r="N2" s="17"/>
      <c r="O2" s="17"/>
      <c r="P2" s="20"/>
    </row>
    <row r="3" spans="1:17" hidden="1">
      <c r="A3" s="21"/>
      <c r="B3" s="20"/>
      <c r="C3" s="26"/>
      <c r="D3" s="27"/>
      <c r="E3" s="14" t="s">
        <v>23</v>
      </c>
      <c r="F3" s="28">
        <f>密码区!C5</f>
        <v>0</v>
      </c>
      <c r="G3" s="20"/>
      <c r="H3" s="17"/>
      <c r="I3" s="14" t="s">
        <v>24</v>
      </c>
      <c r="J3" s="19"/>
      <c r="K3" s="17"/>
      <c r="L3" s="25" t="s">
        <v>48</v>
      </c>
      <c r="M3" s="19"/>
      <c r="N3" s="17"/>
      <c r="O3" s="17"/>
      <c r="P3" s="20"/>
      <c r="Q3" s="29"/>
    </row>
    <row r="4" spans="1:17" hidden="1">
      <c r="A4" s="21"/>
      <c r="B4" s="20"/>
      <c r="C4" s="30"/>
      <c r="D4" s="27"/>
      <c r="E4" s="14" t="s">
        <v>25</v>
      </c>
      <c r="F4" s="28">
        <f>密码区!C6</f>
        <v>0</v>
      </c>
      <c r="G4" s="20"/>
      <c r="H4" s="17"/>
      <c r="I4" s="14" t="s">
        <v>26</v>
      </c>
      <c r="J4" s="32"/>
      <c r="K4" s="17"/>
      <c r="L4" s="25" t="s">
        <v>49</v>
      </c>
      <c r="M4" s="19"/>
      <c r="N4" s="17"/>
      <c r="O4" s="17"/>
      <c r="P4" s="20"/>
      <c r="Q4" s="20"/>
    </row>
    <row r="5" spans="1:17" hidden="1">
      <c r="A5" s="21" t="s">
        <v>53</v>
      </c>
      <c r="B5" s="20" t="s">
        <v>16</v>
      </c>
      <c r="C5" s="27">
        <f>密码区!C2</f>
        <v>0</v>
      </c>
      <c r="E5" s="14" t="s">
        <v>27</v>
      </c>
      <c r="F5" s="52">
        <f>密码区!C7</f>
        <v>0</v>
      </c>
      <c r="G5" s="20"/>
      <c r="H5" s="17"/>
      <c r="I5" s="14" t="s">
        <v>28</v>
      </c>
      <c r="J5" s="32"/>
      <c r="K5" s="17"/>
      <c r="L5" s="25" t="s">
        <v>29</v>
      </c>
      <c r="M5" s="24"/>
      <c r="N5" s="17"/>
      <c r="O5" s="17"/>
      <c r="P5" s="20"/>
      <c r="Q5" s="20"/>
    </row>
    <row r="6" spans="1:17" hidden="1">
      <c r="A6" s="21"/>
      <c r="B6" s="20"/>
      <c r="C6" s="28"/>
      <c r="D6" s="23"/>
      <c r="E6" s="33"/>
      <c r="F6" s="34"/>
      <c r="G6" s="20"/>
      <c r="H6" s="17"/>
      <c r="I6" s="14"/>
      <c r="J6" s="32"/>
      <c r="K6" s="20"/>
      <c r="L6" s="25" t="s">
        <v>30</v>
      </c>
      <c r="M6" s="24"/>
      <c r="N6" s="17"/>
      <c r="O6" s="17"/>
      <c r="P6" s="20"/>
      <c r="Q6" s="20"/>
    </row>
    <row r="7" spans="1:17" hidden="1">
      <c r="A7" s="21"/>
      <c r="B7" s="20"/>
      <c r="C7" s="28"/>
      <c r="D7" s="23"/>
      <c r="E7" s="33"/>
      <c r="F7" s="34"/>
      <c r="G7" s="17"/>
      <c r="H7" s="17"/>
      <c r="I7" s="31"/>
      <c r="J7" s="32"/>
      <c r="K7" s="17"/>
      <c r="L7" s="31"/>
      <c r="M7" s="32"/>
      <c r="N7" s="17"/>
      <c r="O7" s="17"/>
    </row>
    <row r="8" spans="1:17" hidden="1">
      <c r="A8" s="21"/>
      <c r="B8" s="20"/>
      <c r="C8" s="34"/>
      <c r="D8" s="27"/>
      <c r="E8" s="33"/>
      <c r="F8" s="34"/>
      <c r="G8" s="17"/>
      <c r="H8" s="17"/>
      <c r="I8" s="31"/>
      <c r="J8" s="32"/>
      <c r="K8" s="17"/>
      <c r="L8" s="31"/>
      <c r="M8" s="32"/>
      <c r="N8" s="17"/>
      <c r="O8" s="17"/>
    </row>
    <row r="9" spans="1:17" hidden="1">
      <c r="A9" s="21"/>
      <c r="B9" s="20"/>
      <c r="C9" s="22"/>
      <c r="D9" s="27"/>
      <c r="E9" s="14"/>
      <c r="F9" s="35"/>
      <c r="G9" s="17"/>
      <c r="H9" s="17"/>
      <c r="I9" s="31"/>
      <c r="J9" s="32"/>
      <c r="K9" s="17"/>
      <c r="L9" s="31"/>
      <c r="M9" s="32"/>
      <c r="N9" s="17"/>
      <c r="O9" s="17"/>
    </row>
    <row r="10" spans="1:17" hidden="1">
      <c r="A10" s="21"/>
      <c r="B10" s="20"/>
      <c r="C10" s="22"/>
      <c r="D10" s="27"/>
      <c r="E10" s="14"/>
      <c r="F10" s="35"/>
      <c r="G10" s="17"/>
      <c r="H10" s="17"/>
      <c r="I10" s="31"/>
      <c r="J10" s="32"/>
      <c r="K10" s="17"/>
      <c r="L10" s="31"/>
      <c r="M10" s="32"/>
      <c r="N10" s="17"/>
      <c r="O10" s="17"/>
    </row>
    <row r="11" spans="1:17" hidden="1">
      <c r="A11" s="21"/>
      <c r="B11" s="20"/>
      <c r="C11" s="34"/>
      <c r="D11" s="27"/>
      <c r="E11" s="14"/>
      <c r="F11" s="35"/>
      <c r="G11" s="17"/>
      <c r="H11" s="17"/>
      <c r="I11" s="31"/>
      <c r="J11" s="24"/>
      <c r="K11" s="17"/>
      <c r="L11" s="31"/>
      <c r="M11" s="32"/>
      <c r="N11" s="17"/>
      <c r="O11" s="17"/>
    </row>
    <row r="12" spans="1:17" hidden="1">
      <c r="A12" s="21"/>
      <c r="B12" s="20"/>
      <c r="C12" s="34"/>
      <c r="D12" s="27"/>
      <c r="E12" s="14"/>
      <c r="F12" s="35"/>
      <c r="G12" s="17"/>
      <c r="H12" s="17"/>
      <c r="I12" s="31"/>
      <c r="J12" s="24"/>
      <c r="K12" s="17"/>
      <c r="L12" s="31"/>
      <c r="M12" s="32"/>
      <c r="N12" s="17"/>
      <c r="O12" s="17"/>
    </row>
    <row r="13" spans="1:17" hidden="1">
      <c r="A13" s="21"/>
      <c r="B13" s="20"/>
      <c r="C13" s="34"/>
      <c r="D13" s="27"/>
      <c r="E13" s="14"/>
      <c r="F13" s="35"/>
      <c r="G13" s="17"/>
      <c r="H13" s="17"/>
      <c r="I13" s="31"/>
      <c r="J13" s="24"/>
      <c r="K13" s="17"/>
      <c r="L13" s="31"/>
      <c r="M13" s="32"/>
      <c r="N13" s="17"/>
      <c r="O13" s="17"/>
    </row>
    <row r="14" spans="1:17" hidden="1">
      <c r="A14" s="21"/>
      <c r="B14" s="20"/>
      <c r="C14" s="34"/>
      <c r="D14" s="27"/>
      <c r="E14" s="14"/>
      <c r="F14" s="35"/>
      <c r="G14" s="17"/>
      <c r="H14" s="17"/>
      <c r="I14" s="31"/>
      <c r="J14" s="24"/>
      <c r="K14" s="17"/>
      <c r="L14" s="31"/>
      <c r="M14" s="32"/>
      <c r="N14" s="17"/>
      <c r="O14" s="17"/>
    </row>
    <row r="15" spans="1:17" hidden="1">
      <c r="A15" s="21"/>
      <c r="B15" s="20"/>
      <c r="C15" s="34"/>
      <c r="D15" s="27"/>
      <c r="E15" s="14"/>
      <c r="F15" s="35"/>
      <c r="G15" s="17"/>
      <c r="H15" s="17"/>
      <c r="I15" s="31"/>
      <c r="J15" s="24"/>
      <c r="K15" s="17"/>
      <c r="L15" s="31"/>
      <c r="M15" s="32"/>
      <c r="N15" s="17"/>
      <c r="O15" s="17"/>
    </row>
    <row r="16" spans="1:17" hidden="1">
      <c r="A16" s="21"/>
      <c r="B16" s="20"/>
      <c r="C16" s="34"/>
      <c r="D16" s="27"/>
      <c r="E16" s="14"/>
      <c r="F16" s="35"/>
      <c r="G16" s="17"/>
      <c r="H16" s="17"/>
      <c r="I16" s="31"/>
      <c r="J16" s="24"/>
      <c r="K16" s="17"/>
      <c r="L16" s="31"/>
      <c r="M16" s="32"/>
      <c r="N16" s="17"/>
      <c r="O16" s="17"/>
    </row>
    <row r="17" spans="1:48" ht="14.4" hidden="1" customHeight="1">
      <c r="A17" s="21"/>
      <c r="B17" s="20"/>
      <c r="C17" s="34"/>
      <c r="D17" s="27"/>
      <c r="E17" s="14"/>
      <c r="F17" s="35"/>
      <c r="G17" s="17"/>
      <c r="H17" s="17"/>
      <c r="I17" s="31"/>
      <c r="J17" s="24"/>
      <c r="K17" s="17"/>
      <c r="L17" s="31"/>
      <c r="M17" s="32"/>
      <c r="N17" s="17"/>
      <c r="O17" s="17"/>
    </row>
    <row r="18" spans="1:48" ht="14.4" hidden="1" customHeight="1" thickBot="1">
      <c r="A18" s="36" t="s">
        <v>31</v>
      </c>
      <c r="B18" s="36" t="s">
        <v>31</v>
      </c>
      <c r="C18" s="37" t="s">
        <v>31</v>
      </c>
      <c r="D18" s="27"/>
      <c r="E18" s="38" t="s">
        <v>50</v>
      </c>
      <c r="F18" s="39" t="s">
        <v>51</v>
      </c>
      <c r="G18" s="17"/>
      <c r="H18" s="17"/>
      <c r="I18" s="36" t="s">
        <v>32</v>
      </c>
      <c r="J18" s="37" t="s">
        <v>32</v>
      </c>
      <c r="K18" s="17"/>
      <c r="L18" s="39" t="s">
        <v>52</v>
      </c>
      <c r="M18" s="39" t="s">
        <v>51</v>
      </c>
      <c r="N18" s="17"/>
      <c r="O18" s="17"/>
    </row>
    <row r="19" spans="1:48" s="23" customFormat="1" ht="14.4" hidden="1" customHeight="1">
      <c r="A19" s="40" t="s">
        <v>33</v>
      </c>
      <c r="B19" s="40" t="s">
        <v>22</v>
      </c>
      <c r="C19" s="40" t="s">
        <v>34</v>
      </c>
      <c r="D19" s="40" t="s">
        <v>35</v>
      </c>
      <c r="E19" s="40" t="s">
        <v>38</v>
      </c>
      <c r="F19" s="40" t="s">
        <v>39</v>
      </c>
      <c r="G19" s="40" t="s">
        <v>36</v>
      </c>
      <c r="H19" s="40" t="s">
        <v>37</v>
      </c>
      <c r="I19" s="40"/>
      <c r="J19" s="40"/>
      <c r="K19" s="40"/>
      <c r="L19" s="40"/>
      <c r="M19" s="40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2"/>
    </row>
    <row r="20" spans="1:48" s="43" customFormat="1" ht="14.4" hidden="1" customHeight="1"/>
    <row r="21" spans="1:48" s="23" customFormat="1" ht="14.4" customHeight="1">
      <c r="A21" s="44" t="s">
        <v>41</v>
      </c>
      <c r="B21" s="44" t="s">
        <v>40</v>
      </c>
      <c r="C21" s="44" t="s">
        <v>42</v>
      </c>
      <c r="D21" s="44" t="s">
        <v>43</v>
      </c>
      <c r="E21" s="44" t="s">
        <v>44</v>
      </c>
      <c r="F21" s="44" t="s">
        <v>45</v>
      </c>
      <c r="G21" s="64" t="s">
        <v>138</v>
      </c>
      <c r="H21" s="44"/>
      <c r="I21" s="45"/>
      <c r="J21" s="45"/>
      <c r="K21" s="46"/>
      <c r="L21" s="46"/>
      <c r="M21" s="46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</row>
    <row r="22" spans="1:48" s="48" customFormat="1" ht="14.4" customHeight="1">
      <c r="A22" s="66" t="s">
        <v>147</v>
      </c>
      <c r="B22" s="67">
        <v>2222</v>
      </c>
      <c r="C22" s="67">
        <v>11111111111</v>
      </c>
      <c r="D22" s="44">
        <v>671808</v>
      </c>
      <c r="E22" s="67">
        <v>53053067</v>
      </c>
      <c r="F22" s="68" t="s">
        <v>148</v>
      </c>
      <c r="G22" s="66" t="s">
        <v>142</v>
      </c>
      <c r="H22" s="67"/>
      <c r="I22" s="45"/>
      <c r="J22" s="45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</row>
    <row r="23" spans="1:48" s="48" customFormat="1" ht="14.4" customHeight="1">
      <c r="A23" s="66" t="s">
        <v>145</v>
      </c>
      <c r="B23" s="67">
        <v>123</v>
      </c>
      <c r="C23" s="67">
        <v>222222222</v>
      </c>
      <c r="D23" s="44"/>
      <c r="E23" s="67">
        <v>187277552</v>
      </c>
      <c r="F23" s="69" t="s">
        <v>68</v>
      </c>
      <c r="G23" s="66" t="s">
        <v>143</v>
      </c>
      <c r="H23" s="67"/>
      <c r="I23" s="45"/>
      <c r="J23" s="45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</row>
    <row r="24" spans="1:48" s="48" customFormat="1" ht="14.4" customHeight="1">
      <c r="A24" s="44"/>
      <c r="B24" s="44"/>
      <c r="C24" s="44"/>
      <c r="D24" s="44"/>
      <c r="E24" s="44"/>
      <c r="F24" s="44"/>
      <c r="G24" s="44"/>
      <c r="H24" s="44"/>
      <c r="I24" s="45"/>
      <c r="J24" s="45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</row>
    <row r="25" spans="1:48" s="48" customFormat="1" ht="14.4" customHeight="1">
      <c r="A25" s="44"/>
      <c r="B25" s="44"/>
      <c r="C25" s="44"/>
      <c r="D25" s="44"/>
      <c r="E25" s="44"/>
      <c r="F25" s="44"/>
      <c r="G25" s="44"/>
      <c r="H25" s="44"/>
      <c r="I25" s="45"/>
      <c r="J25" s="45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</row>
    <row r="26" spans="1:48" s="48" customFormat="1" ht="14.4" customHeight="1">
      <c r="A26" s="44"/>
      <c r="B26" s="44"/>
      <c r="C26" s="44"/>
      <c r="D26" s="44"/>
      <c r="E26" s="44"/>
      <c r="F26" s="44"/>
      <c r="G26" s="44"/>
      <c r="H26" s="44"/>
      <c r="I26" s="45"/>
      <c r="J26" s="50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</row>
    <row r="27" spans="1:48" s="48" customFormat="1" ht="14.4" customHeight="1">
      <c r="A27" s="44"/>
      <c r="B27" s="44"/>
      <c r="C27" s="44"/>
      <c r="D27" s="44"/>
      <c r="E27" s="44"/>
      <c r="F27" s="44"/>
      <c r="G27" s="44"/>
      <c r="H27" s="44"/>
      <c r="I27" s="45"/>
      <c r="J27" s="50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</row>
    <row r="28" spans="1:48" s="48" customFormat="1" ht="14.4" customHeight="1">
      <c r="A28" s="44"/>
      <c r="B28" s="44"/>
      <c r="C28" s="44"/>
      <c r="D28" s="44"/>
      <c r="E28" s="44"/>
      <c r="F28" s="44"/>
      <c r="G28" s="44"/>
      <c r="H28" s="44"/>
      <c r="I28" s="45"/>
      <c r="J28" s="50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</row>
    <row r="29" spans="1:48" ht="14.4" customHeight="1">
      <c r="A29" s="44"/>
      <c r="B29" s="44"/>
      <c r="C29" s="44"/>
      <c r="D29" s="44"/>
      <c r="E29" s="44"/>
      <c r="F29" s="44"/>
      <c r="G29" s="44"/>
      <c r="H29" s="44"/>
      <c r="I29" s="45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</row>
    <row r="30" spans="1:48" ht="14.4" customHeight="1">
      <c r="A30" s="44"/>
      <c r="B30" s="44"/>
      <c r="C30" s="44"/>
      <c r="D30" s="44"/>
      <c r="E30" s="44"/>
      <c r="F30" s="49"/>
      <c r="G30" s="44"/>
      <c r="H30" s="53"/>
      <c r="I30" s="45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</row>
    <row r="31" spans="1:48" ht="14.4" customHeight="1">
      <c r="A31" s="44"/>
      <c r="B31" s="44"/>
      <c r="C31" s="44"/>
      <c r="D31" s="44"/>
      <c r="E31" s="44"/>
      <c r="F31" s="49"/>
      <c r="G31" s="44"/>
      <c r="H31" s="53"/>
      <c r="I31" s="45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</row>
    <row r="32" spans="1:48" ht="14.4" customHeight="1">
      <c r="A32" s="44"/>
      <c r="B32" s="44"/>
      <c r="C32" s="44"/>
      <c r="D32" s="44"/>
      <c r="E32" s="44"/>
      <c r="F32" s="49"/>
      <c r="G32" s="44"/>
      <c r="H32" s="53"/>
      <c r="I32" s="45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</row>
    <row r="33" spans="1:48" ht="14.4" customHeight="1">
      <c r="A33" s="44"/>
      <c r="B33" s="44"/>
      <c r="C33" s="44"/>
      <c r="D33" s="44"/>
      <c r="E33" s="44"/>
      <c r="F33" s="49"/>
      <c r="G33" s="44"/>
      <c r="H33" s="53"/>
      <c r="I33" s="45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</row>
    <row r="34" spans="1:48" ht="14.4" customHeight="1">
      <c r="A34" s="44"/>
      <c r="B34" s="44"/>
      <c r="C34" s="44"/>
      <c r="D34" s="44"/>
      <c r="E34" s="44"/>
      <c r="F34" s="49"/>
      <c r="G34" s="44"/>
      <c r="H34" s="53"/>
      <c r="I34" s="45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</row>
    <row r="35" spans="1:48" ht="14.4" customHeight="1">
      <c r="A35" s="44"/>
      <c r="B35" s="44"/>
      <c r="C35" s="44"/>
      <c r="D35" s="44"/>
      <c r="E35" s="44"/>
      <c r="F35" s="49"/>
      <c r="G35" s="44"/>
      <c r="H35" s="53"/>
      <c r="I35" s="45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</row>
    <row r="36" spans="1:48" ht="14.4" customHeight="1">
      <c r="A36" s="44"/>
      <c r="B36" s="44"/>
      <c r="C36" s="44"/>
      <c r="D36" s="44"/>
      <c r="E36" s="44"/>
      <c r="F36" s="49"/>
      <c r="G36" s="44"/>
      <c r="H36" s="53"/>
      <c r="I36" s="45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</row>
    <row r="37" spans="1:48" ht="14.4" customHeight="1">
      <c r="A37" s="44"/>
      <c r="B37" s="44"/>
      <c r="C37" s="44"/>
      <c r="D37" s="44"/>
      <c r="E37" s="44"/>
      <c r="F37" s="49"/>
      <c r="G37" s="44"/>
      <c r="H37" s="53"/>
      <c r="I37" s="45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</row>
    <row r="38" spans="1:48" ht="14.4" customHeight="1">
      <c r="A38" s="44"/>
      <c r="B38" s="44"/>
      <c r="C38" s="44"/>
      <c r="D38" s="44"/>
      <c r="E38" s="44"/>
      <c r="F38" s="49"/>
      <c r="G38" s="44"/>
      <c r="H38" s="53"/>
      <c r="I38" s="45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</row>
    <row r="39" spans="1:48" ht="14.4" customHeight="1">
      <c r="A39" s="44"/>
      <c r="B39" s="44"/>
      <c r="C39" s="44"/>
      <c r="D39" s="44"/>
      <c r="E39" s="44"/>
      <c r="F39" s="49"/>
      <c r="G39" s="44"/>
      <c r="H39" s="53"/>
      <c r="I39" s="45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</row>
    <row r="40" spans="1:48" ht="14.4" customHeight="1">
      <c r="A40" s="44"/>
      <c r="B40" s="44"/>
      <c r="C40" s="44"/>
      <c r="D40" s="44"/>
      <c r="E40" s="44"/>
      <c r="F40" s="49"/>
      <c r="G40" s="44"/>
      <c r="H40" s="53"/>
      <c r="I40" s="45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</row>
    <row r="41" spans="1:48" ht="14.4" customHeight="1">
      <c r="A41" s="44"/>
      <c r="B41" s="44"/>
      <c r="C41" s="44"/>
      <c r="D41" s="44"/>
      <c r="E41" s="44"/>
      <c r="F41" s="49"/>
      <c r="G41" s="44"/>
      <c r="H41" s="53"/>
      <c r="I41" s="45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</row>
    <row r="42" spans="1:48" ht="14.4" customHeight="1">
      <c r="A42" s="44"/>
      <c r="B42" s="44"/>
      <c r="C42" s="44"/>
      <c r="D42" s="44"/>
      <c r="E42" s="44"/>
      <c r="F42" s="49"/>
      <c r="G42" s="44"/>
      <c r="H42" s="53"/>
      <c r="I42" s="45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</row>
    <row r="43" spans="1:48" ht="14.4" customHeight="1">
      <c r="A43" s="44"/>
      <c r="B43" s="44"/>
      <c r="C43" s="44"/>
      <c r="D43" s="44"/>
      <c r="E43" s="44"/>
      <c r="F43" s="49"/>
      <c r="G43" s="44"/>
      <c r="H43" s="53"/>
      <c r="I43" s="45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</row>
    <row r="44" spans="1:48">
      <c r="A44" s="50"/>
      <c r="B44" s="50"/>
      <c r="C44" s="50"/>
      <c r="D44" s="46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</row>
    <row r="45" spans="1:48">
      <c r="A45" s="50"/>
      <c r="B45" s="50"/>
      <c r="C45" s="50"/>
      <c r="D45" s="46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</row>
    <row r="46" spans="1:48">
      <c r="A46" s="50"/>
      <c r="B46" s="50"/>
      <c r="C46" s="50"/>
      <c r="D46" s="46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</row>
    <row r="47" spans="1:48">
      <c r="A47" s="50"/>
      <c r="B47" s="50"/>
      <c r="C47" s="50"/>
      <c r="D47" s="46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</row>
    <row r="48" spans="1:48">
      <c r="A48" s="50"/>
      <c r="B48" s="50"/>
      <c r="C48" s="50"/>
      <c r="D48" s="46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</row>
    <row r="49" spans="1:42">
      <c r="A49" s="50"/>
      <c r="B49" s="50"/>
      <c r="C49" s="50"/>
      <c r="D49" s="46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</row>
    <row r="50" spans="1:42">
      <c r="A50" s="50"/>
      <c r="B50" s="50"/>
      <c r="C50" s="50"/>
      <c r="D50" s="46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</row>
    <row r="51" spans="1:42">
      <c r="A51" s="50"/>
      <c r="B51" s="50"/>
      <c r="C51" s="50"/>
      <c r="D51" s="46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</row>
    <row r="52" spans="1:42">
      <c r="A52" s="50"/>
      <c r="B52" s="50"/>
      <c r="C52" s="50"/>
      <c r="D52" s="46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</row>
    <row r="53" spans="1:42">
      <c r="A53" s="50"/>
      <c r="B53" s="50"/>
      <c r="C53" s="50"/>
      <c r="D53" s="46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</row>
    <row r="54" spans="1:42">
      <c r="A54" s="50"/>
      <c r="B54" s="50"/>
      <c r="C54" s="50"/>
      <c r="D54" s="46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</row>
    <row r="55" spans="1:42">
      <c r="A55" s="50"/>
      <c r="B55" s="50"/>
      <c r="C55" s="50"/>
      <c r="D55" s="46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</row>
    <row r="56" spans="1:42">
      <c r="A56" s="50"/>
      <c r="B56" s="50"/>
      <c r="C56" s="50"/>
      <c r="D56" s="46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</row>
    <row r="57" spans="1:42">
      <c r="A57" s="50"/>
      <c r="B57" s="50"/>
      <c r="C57" s="50"/>
      <c r="D57" s="46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</row>
    <row r="58" spans="1:42">
      <c r="A58" s="50"/>
      <c r="B58" s="50"/>
      <c r="C58" s="50"/>
      <c r="D58" s="46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</row>
    <row r="59" spans="1:42">
      <c r="A59" s="50"/>
      <c r="B59" s="50"/>
      <c r="C59" s="50"/>
      <c r="D59" s="46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</row>
    <row r="60" spans="1:42">
      <c r="A60" s="50"/>
      <c r="B60" s="50"/>
      <c r="C60" s="50"/>
      <c r="D60" s="46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</row>
    <row r="61" spans="1:42">
      <c r="A61" s="50"/>
      <c r="B61" s="50"/>
      <c r="C61" s="50"/>
      <c r="D61" s="46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</row>
    <row r="62" spans="1:42">
      <c r="A62" s="50"/>
      <c r="B62" s="50"/>
      <c r="C62" s="50"/>
      <c r="D62" s="46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</row>
    <row r="63" spans="1:42">
      <c r="A63" s="50"/>
      <c r="B63" s="50"/>
      <c r="C63" s="50"/>
      <c r="D63" s="46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</row>
    <row r="64" spans="1:42">
      <c r="A64" s="50"/>
      <c r="B64" s="50"/>
      <c r="C64" s="50"/>
      <c r="D64" s="46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</row>
    <row r="65" spans="1:42">
      <c r="A65" s="50"/>
      <c r="B65" s="50"/>
      <c r="C65" s="50"/>
      <c r="D65" s="46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</row>
    <row r="66" spans="1:42">
      <c r="A66" s="50"/>
      <c r="B66" s="50"/>
      <c r="C66" s="50"/>
      <c r="D66" s="46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</row>
    <row r="67" spans="1:42">
      <c r="A67" s="50"/>
      <c r="B67" s="50"/>
      <c r="C67" s="50"/>
      <c r="D67" s="46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</row>
    <row r="68" spans="1:42">
      <c r="A68" s="50"/>
      <c r="B68" s="50"/>
      <c r="C68" s="50"/>
      <c r="D68" s="46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</row>
    <row r="69" spans="1:42">
      <c r="A69" s="50"/>
      <c r="B69" s="50"/>
      <c r="C69" s="50"/>
      <c r="D69" s="46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</row>
    <row r="70" spans="1:42">
      <c r="A70" s="50"/>
      <c r="B70" s="50"/>
      <c r="C70" s="50"/>
      <c r="D70" s="46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</row>
    <row r="71" spans="1:42">
      <c r="A71" s="50"/>
      <c r="B71" s="50"/>
      <c r="C71" s="50"/>
      <c r="D71" s="46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</row>
    <row r="72" spans="1:42">
      <c r="A72" s="50"/>
      <c r="B72" s="50"/>
      <c r="C72" s="50"/>
      <c r="D72" s="46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</row>
    <row r="73" spans="1:42">
      <c r="A73" s="50"/>
      <c r="B73" s="50"/>
      <c r="C73" s="50"/>
      <c r="D73" s="46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</row>
    <row r="74" spans="1:42">
      <c r="A74" s="50"/>
      <c r="B74" s="50"/>
      <c r="C74" s="50"/>
      <c r="D74" s="46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</row>
    <row r="75" spans="1:42">
      <c r="A75" s="50"/>
      <c r="B75" s="50"/>
      <c r="C75" s="50"/>
      <c r="D75" s="46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</row>
    <row r="76" spans="1:42">
      <c r="A76" s="50"/>
      <c r="B76" s="50"/>
      <c r="C76" s="50"/>
      <c r="D76" s="46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</row>
    <row r="77" spans="1:42">
      <c r="A77" s="50"/>
      <c r="B77" s="50"/>
      <c r="C77" s="50"/>
      <c r="D77" s="46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</row>
    <row r="78" spans="1:42">
      <c r="A78" s="50"/>
      <c r="B78" s="50"/>
      <c r="C78" s="50"/>
      <c r="D78" s="46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</row>
    <row r="79" spans="1:42">
      <c r="A79" s="50"/>
      <c r="B79" s="50"/>
      <c r="C79" s="50"/>
      <c r="D79" s="46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</row>
    <row r="80" spans="1:42">
      <c r="A80" s="50"/>
      <c r="B80" s="50"/>
      <c r="C80" s="50"/>
      <c r="D80" s="46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</row>
    <row r="81" spans="1:42">
      <c r="A81" s="50"/>
      <c r="B81" s="50"/>
      <c r="C81" s="50"/>
      <c r="D81" s="46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</row>
    <row r="82" spans="1:42">
      <c r="A82" s="50"/>
      <c r="B82" s="50"/>
      <c r="C82" s="50"/>
      <c r="D82" s="46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</row>
    <row r="83" spans="1:42">
      <c r="A83" s="50"/>
      <c r="B83" s="50"/>
      <c r="C83" s="50"/>
      <c r="D83" s="46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</row>
    <row r="84" spans="1:42">
      <c r="A84" s="50"/>
      <c r="B84" s="50"/>
      <c r="C84" s="50"/>
      <c r="D84" s="46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</row>
    <row r="85" spans="1:42">
      <c r="A85" s="50"/>
      <c r="B85" s="50"/>
      <c r="C85" s="50"/>
      <c r="D85" s="46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</row>
    <row r="86" spans="1:42">
      <c r="A86" s="50"/>
      <c r="B86" s="50"/>
      <c r="C86" s="50"/>
      <c r="D86" s="46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</row>
    <row r="87" spans="1:42">
      <c r="A87" s="50"/>
      <c r="B87" s="50"/>
      <c r="C87" s="50"/>
      <c r="D87" s="46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</row>
    <row r="88" spans="1:42">
      <c r="A88" s="50"/>
      <c r="B88" s="50"/>
      <c r="C88" s="50"/>
      <c r="D88" s="46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</row>
    <row r="89" spans="1:42">
      <c r="A89" s="50"/>
      <c r="B89" s="50"/>
      <c r="C89" s="50"/>
      <c r="D89" s="46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</row>
    <row r="90" spans="1:42">
      <c r="A90" s="50"/>
      <c r="B90" s="50"/>
      <c r="C90" s="50"/>
      <c r="D90" s="46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</row>
    <row r="91" spans="1:42">
      <c r="A91" s="50"/>
      <c r="B91" s="50"/>
      <c r="C91" s="50"/>
      <c r="D91" s="46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</row>
    <row r="92" spans="1:42">
      <c r="A92" s="50"/>
      <c r="B92" s="50"/>
      <c r="C92" s="50"/>
      <c r="D92" s="46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</row>
    <row r="93" spans="1:42">
      <c r="A93" s="50"/>
      <c r="B93" s="50"/>
      <c r="C93" s="50"/>
      <c r="D93" s="46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</row>
    <row r="94" spans="1:42">
      <c r="A94" s="50"/>
      <c r="B94" s="50"/>
      <c r="C94" s="50"/>
      <c r="D94" s="46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</row>
    <row r="95" spans="1:42">
      <c r="A95" s="50"/>
      <c r="B95" s="50"/>
      <c r="C95" s="50"/>
      <c r="D95" s="46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</row>
    <row r="96" spans="1:42">
      <c r="A96" s="50"/>
      <c r="B96" s="50"/>
      <c r="C96" s="50"/>
      <c r="D96" s="46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</row>
    <row r="97" spans="1:42">
      <c r="A97" s="50"/>
      <c r="B97" s="50"/>
      <c r="C97" s="50"/>
      <c r="D97" s="46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</row>
    <row r="98" spans="1:42">
      <c r="A98" s="50"/>
      <c r="B98" s="50"/>
      <c r="C98" s="50"/>
      <c r="D98" s="46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</row>
    <row r="99" spans="1:42">
      <c r="A99" s="50"/>
      <c r="B99" s="50"/>
      <c r="C99" s="50"/>
      <c r="D99" s="46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</row>
    <row r="100" spans="1:42">
      <c r="A100" s="50"/>
      <c r="B100" s="50"/>
      <c r="C100" s="50"/>
      <c r="D100" s="46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</row>
    <row r="101" spans="1:42">
      <c r="A101" s="50"/>
      <c r="B101" s="50"/>
      <c r="C101" s="50"/>
      <c r="D101" s="46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</row>
    <row r="102" spans="1:42">
      <c r="A102" s="50"/>
      <c r="B102" s="50"/>
      <c r="C102" s="50"/>
      <c r="D102" s="46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</row>
    <row r="103" spans="1:42">
      <c r="A103" s="50"/>
      <c r="B103" s="50"/>
      <c r="C103" s="50"/>
      <c r="D103" s="46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</row>
    <row r="104" spans="1:42">
      <c r="A104" s="50"/>
      <c r="B104" s="50"/>
      <c r="C104" s="50"/>
      <c r="D104" s="46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</row>
    <row r="105" spans="1:42">
      <c r="A105" s="50"/>
      <c r="B105" s="50"/>
      <c r="C105" s="50"/>
      <c r="D105" s="46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</row>
    <row r="106" spans="1:42">
      <c r="A106" s="50"/>
      <c r="B106" s="50"/>
      <c r="C106" s="50"/>
      <c r="D106" s="46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</row>
    <row r="107" spans="1:42">
      <c r="A107" s="50"/>
      <c r="B107" s="50"/>
      <c r="C107" s="50"/>
      <c r="D107" s="46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</row>
    <row r="108" spans="1:42">
      <c r="A108" s="50"/>
      <c r="B108" s="50"/>
      <c r="C108" s="50"/>
      <c r="D108" s="46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</row>
    <row r="109" spans="1:42">
      <c r="A109" s="50"/>
      <c r="B109" s="50"/>
      <c r="C109" s="50"/>
      <c r="D109" s="46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</row>
    <row r="110" spans="1:42">
      <c r="A110" s="50"/>
      <c r="B110" s="50"/>
      <c r="C110" s="50"/>
      <c r="D110" s="46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</row>
    <row r="111" spans="1:42">
      <c r="A111" s="50"/>
      <c r="B111" s="50"/>
      <c r="C111" s="50"/>
      <c r="D111" s="46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</row>
    <row r="112" spans="1:42">
      <c r="A112" s="50"/>
      <c r="B112" s="50"/>
      <c r="C112" s="50"/>
      <c r="D112" s="46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</row>
    <row r="113" spans="1:42">
      <c r="A113" s="50"/>
      <c r="B113" s="50"/>
      <c r="C113" s="50"/>
      <c r="D113" s="46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</row>
    <row r="114" spans="1:42">
      <c r="A114" s="50"/>
      <c r="B114" s="50"/>
      <c r="C114" s="50"/>
      <c r="D114" s="46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</row>
    <row r="115" spans="1:42">
      <c r="A115" s="50"/>
      <c r="B115" s="50"/>
      <c r="C115" s="50"/>
      <c r="D115" s="46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</row>
    <row r="116" spans="1:42">
      <c r="A116" s="50"/>
      <c r="B116" s="50"/>
      <c r="C116" s="50"/>
      <c r="D116" s="46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</row>
    <row r="117" spans="1:42">
      <c r="A117" s="50"/>
      <c r="B117" s="50"/>
      <c r="C117" s="50"/>
      <c r="D117" s="46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</row>
    <row r="118" spans="1:42">
      <c r="A118" s="50"/>
      <c r="B118" s="50"/>
      <c r="C118" s="50"/>
      <c r="D118" s="46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</row>
    <row r="119" spans="1:42">
      <c r="A119" s="50"/>
      <c r="B119" s="50"/>
      <c r="C119" s="50"/>
      <c r="D119" s="46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</row>
    <row r="120" spans="1:42">
      <c r="A120" s="50"/>
      <c r="B120" s="50"/>
      <c r="C120" s="50"/>
      <c r="D120" s="46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</row>
    <row r="121" spans="1:42">
      <c r="A121" s="50"/>
      <c r="B121" s="50"/>
      <c r="C121" s="50"/>
      <c r="D121" s="46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</row>
    <row r="122" spans="1:42">
      <c r="A122" s="50"/>
      <c r="B122" s="50"/>
      <c r="C122" s="50"/>
      <c r="D122" s="46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</row>
    <row r="123" spans="1:42">
      <c r="A123" s="50"/>
      <c r="B123" s="50"/>
      <c r="C123" s="50"/>
      <c r="D123" s="46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</row>
    <row r="124" spans="1:42">
      <c r="A124" s="50"/>
      <c r="B124" s="50"/>
      <c r="C124" s="50"/>
      <c r="D124" s="46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</row>
    <row r="125" spans="1:42">
      <c r="A125" s="50"/>
      <c r="B125" s="50"/>
      <c r="C125" s="50"/>
      <c r="D125" s="46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</row>
    <row r="126" spans="1:42">
      <c r="A126" s="50"/>
      <c r="B126" s="50"/>
      <c r="C126" s="50"/>
      <c r="D126" s="46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</row>
    <row r="127" spans="1:42">
      <c r="A127" s="50"/>
      <c r="B127" s="50"/>
      <c r="C127" s="50"/>
      <c r="D127" s="46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</row>
    <row r="128" spans="1:42">
      <c r="A128" s="50"/>
      <c r="B128" s="50"/>
      <c r="C128" s="50"/>
      <c r="D128" s="46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</row>
    <row r="129" spans="1:42">
      <c r="A129" s="50"/>
      <c r="B129" s="50"/>
      <c r="C129" s="50"/>
      <c r="D129" s="46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</row>
    <row r="130" spans="1:42">
      <c r="A130" s="50"/>
      <c r="B130" s="50"/>
      <c r="C130" s="50"/>
      <c r="D130" s="46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</row>
    <row r="131" spans="1:42">
      <c r="A131" s="50"/>
      <c r="B131" s="50"/>
      <c r="C131" s="50"/>
      <c r="D131" s="46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</row>
    <row r="132" spans="1:42">
      <c r="A132" s="50"/>
      <c r="B132" s="50"/>
      <c r="C132" s="50"/>
      <c r="D132" s="46"/>
      <c r="E132" s="50"/>
      <c r="F132" s="55"/>
      <c r="G132" s="65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</row>
    <row r="133" spans="1:42">
      <c r="A133" s="65"/>
      <c r="B133" s="50"/>
      <c r="C133" s="50"/>
      <c r="D133" s="46"/>
      <c r="E133" s="50"/>
      <c r="F133" s="55"/>
      <c r="G133" s="65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</row>
    <row r="134" spans="1:42">
      <c r="A134" s="50"/>
      <c r="B134" s="50"/>
      <c r="C134" s="50"/>
      <c r="D134" s="46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</row>
    <row r="135" spans="1:42">
      <c r="A135" s="50"/>
      <c r="B135" s="50"/>
      <c r="C135" s="50"/>
      <c r="D135" s="46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</row>
    <row r="136" spans="1:42">
      <c r="A136" s="50"/>
      <c r="B136" s="50"/>
      <c r="C136" s="50"/>
      <c r="D136" s="46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</row>
    <row r="137" spans="1:42">
      <c r="A137" s="50"/>
      <c r="B137" s="50"/>
      <c r="C137" s="50"/>
      <c r="D137" s="46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</row>
    <row r="138" spans="1:42">
      <c r="A138" s="50"/>
      <c r="B138" s="50"/>
      <c r="C138" s="50"/>
      <c r="D138" s="46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</row>
    <row r="139" spans="1:42">
      <c r="A139" s="50"/>
      <c r="B139" s="50"/>
      <c r="C139" s="50"/>
      <c r="D139" s="46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50"/>
    </row>
    <row r="140" spans="1:42">
      <c r="A140" s="50"/>
      <c r="B140" s="50"/>
      <c r="C140" s="50"/>
      <c r="D140" s="46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50"/>
    </row>
    <row r="141" spans="1:42">
      <c r="A141" s="50"/>
      <c r="B141" s="50"/>
      <c r="C141" s="50"/>
      <c r="D141" s="46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</row>
    <row r="142" spans="1:42">
      <c r="A142" s="50"/>
      <c r="B142" s="50"/>
      <c r="C142" s="50"/>
      <c r="D142" s="46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</row>
    <row r="143" spans="1:42">
      <c r="A143" s="50"/>
      <c r="B143" s="50"/>
      <c r="C143" s="50"/>
      <c r="D143" s="46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</row>
    <row r="144" spans="1:42">
      <c r="A144" s="50"/>
      <c r="B144" s="50"/>
      <c r="C144" s="50"/>
      <c r="D144" s="46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</row>
    <row r="145" spans="1:42">
      <c r="A145" s="50"/>
      <c r="B145" s="50"/>
      <c r="C145" s="50"/>
      <c r="D145" s="46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</row>
    <row r="146" spans="1:42">
      <c r="A146" s="50"/>
      <c r="B146" s="50"/>
      <c r="C146" s="50"/>
      <c r="D146" s="46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</row>
    <row r="147" spans="1:42">
      <c r="A147" s="50"/>
      <c r="B147" s="50"/>
      <c r="C147" s="50"/>
      <c r="D147" s="46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</row>
    <row r="148" spans="1:42">
      <c r="A148" s="50"/>
      <c r="B148" s="50"/>
      <c r="C148" s="50"/>
      <c r="D148" s="46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</row>
    <row r="149" spans="1:42">
      <c r="A149" s="50"/>
      <c r="B149" s="50"/>
      <c r="C149" s="50"/>
      <c r="D149" s="46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</row>
    <row r="150" spans="1:42">
      <c r="A150" s="50"/>
      <c r="B150" s="50"/>
      <c r="C150" s="50"/>
      <c r="D150" s="46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50"/>
    </row>
    <row r="151" spans="1:42">
      <c r="A151" s="50"/>
      <c r="B151" s="50"/>
      <c r="C151" s="50"/>
      <c r="D151" s="46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</row>
    <row r="152" spans="1:42">
      <c r="A152" s="50"/>
      <c r="B152" s="50"/>
      <c r="C152" s="50"/>
      <c r="D152" s="46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</row>
    <row r="153" spans="1:42">
      <c r="A153" s="50"/>
      <c r="B153" s="50"/>
      <c r="C153" s="50"/>
      <c r="D153" s="46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</row>
    <row r="154" spans="1:42">
      <c r="A154" s="50"/>
      <c r="B154" s="50"/>
      <c r="C154" s="50"/>
      <c r="D154" s="46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50"/>
    </row>
    <row r="155" spans="1:42">
      <c r="A155" s="50"/>
      <c r="B155" s="50"/>
      <c r="C155" s="50"/>
      <c r="D155" s="46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50"/>
    </row>
    <row r="156" spans="1:42">
      <c r="A156" s="50"/>
      <c r="B156" s="50"/>
      <c r="C156" s="50"/>
      <c r="D156" s="46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</row>
    <row r="157" spans="1:42">
      <c r="A157" s="50"/>
      <c r="B157" s="50"/>
      <c r="C157" s="50"/>
      <c r="D157" s="46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</row>
    <row r="158" spans="1:42">
      <c r="A158" s="50"/>
      <c r="B158" s="50"/>
      <c r="C158" s="50"/>
      <c r="D158" s="46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</row>
    <row r="159" spans="1:42">
      <c r="A159" s="50"/>
      <c r="B159" s="50"/>
      <c r="C159" s="50"/>
      <c r="D159" s="46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</row>
    <row r="160" spans="1:42">
      <c r="A160" s="50"/>
      <c r="B160" s="50"/>
      <c r="C160" s="50"/>
      <c r="D160" s="46"/>
      <c r="E160" s="50"/>
      <c r="F160" s="50"/>
      <c r="G160" s="50"/>
      <c r="H160" s="50"/>
    </row>
    <row r="161" spans="1:8">
      <c r="A161" s="50"/>
      <c r="B161" s="50"/>
      <c r="C161" s="50"/>
      <c r="D161" s="46"/>
      <c r="E161" s="50"/>
      <c r="F161" s="50"/>
      <c r="G161" s="50"/>
      <c r="H161" s="50"/>
    </row>
  </sheetData>
  <phoneticPr fontId="2" type="noConversion"/>
  <conditionalFormatting sqref="B2">
    <cfRule type="containsText" dxfId="26" priority="1" operator="containsText" text=" ">
      <formula>NOT(ISERROR(SEARCH(" ",B2)))</formula>
    </cfRule>
  </conditionalFormatting>
  <conditionalFormatting sqref="A3">
    <cfRule type="containsText" dxfId="25" priority="12" operator="containsText" text=" ">
      <formula>NOT(ISERROR(SEARCH(" ",A3)))</formula>
    </cfRule>
    <cfRule type="containsText" dxfId="24" priority="13" operator="containsText" text=" ">
      <formula>NOT(ISERROR(SEARCH(" ",A3)))</formula>
    </cfRule>
  </conditionalFormatting>
  <conditionalFormatting sqref="O3:P3">
    <cfRule type="containsText" dxfId="23" priority="19" operator="containsText" text=" ">
      <formula>NOT(ISERROR(SEARCH(" ",O3)))</formula>
    </cfRule>
  </conditionalFormatting>
  <conditionalFormatting sqref="A4">
    <cfRule type="containsText" dxfId="22" priority="16" operator="containsText" text=" ">
      <formula>NOT(ISERROR(SEARCH(" ",A4)))</formula>
    </cfRule>
  </conditionalFormatting>
  <conditionalFormatting sqref="B4">
    <cfRule type="containsText" dxfId="21" priority="9" operator="containsText" text=" ">
      <formula>NOT(ISERROR(SEARCH(" ",B4)))</formula>
    </cfRule>
  </conditionalFormatting>
  <conditionalFormatting sqref="A3:A17">
    <cfRule type="containsText" dxfId="20" priority="17" operator="containsText" text=" ">
      <formula>NOT(ISERROR(SEARCH(" ",A3)))</formula>
    </cfRule>
  </conditionalFormatting>
  <conditionalFormatting sqref="A11:A17">
    <cfRule type="containsText" dxfId="19" priority="14" operator="containsText" text=" ">
      <formula>NOT(ISERROR(SEARCH(" ",A11)))</formula>
    </cfRule>
    <cfRule type="containsText" dxfId="18" priority="15" operator="containsText" text=" ">
      <formula>NOT(ISERROR(SEARCH(" ",A11)))</formula>
    </cfRule>
  </conditionalFormatting>
  <conditionalFormatting sqref="B3:B17">
    <cfRule type="containsText" dxfId="17" priority="10" operator="containsText" text=" ">
      <formula>NOT(ISERROR(SEARCH(" ",B3)))</formula>
    </cfRule>
  </conditionalFormatting>
  <conditionalFormatting sqref="B4:B7">
    <cfRule type="containsText" dxfId="16" priority="11" operator="containsText" text=" ">
      <formula>NOT(ISERROR(SEARCH(" ",B4)))</formula>
    </cfRule>
  </conditionalFormatting>
  <conditionalFormatting sqref="O4:Q6 O3:P3 O1:O2">
    <cfRule type="containsText" dxfId="15" priority="21" operator="containsText" text=" ">
      <formula>NOT(ISERROR(SEARCH(" ",O1)))</formula>
    </cfRule>
  </conditionalFormatting>
  <conditionalFormatting sqref="O1:P6">
    <cfRule type="containsText" dxfId="14" priority="20" operator="containsText" text=" ">
      <formula>NOT(ISERROR(SEARCH(" ",O1)))</formula>
    </cfRule>
  </conditionalFormatting>
  <conditionalFormatting sqref="C6:C7 A3:A17">
    <cfRule type="containsText" dxfId="13" priority="18" operator="containsText" text=" ">
      <formula>NOT(ISERROR(SEARCH(" ",A3)))</formula>
    </cfRule>
  </conditionalFormatting>
  <conditionalFormatting sqref="A1">
    <cfRule type="containsText" dxfId="12" priority="4" operator="containsText" text=" ">
      <formula>NOT(ISERROR(SEARCH(" ",A1)))</formula>
    </cfRule>
    <cfRule type="containsText" dxfId="11" priority="5" operator="containsText" text=" ">
      <formula>NOT(ISERROR(SEARCH(" ",A1)))</formula>
    </cfRule>
    <cfRule type="containsText" dxfId="10" priority="6" operator="containsText" text=" ">
      <formula>NOT(ISERROR(SEARCH(" ",A1)))</formula>
    </cfRule>
  </conditionalFormatting>
  <conditionalFormatting sqref="A2">
    <cfRule type="containsText" dxfId="9" priority="2" operator="containsText" text=" ">
      <formula>NOT(ISERROR(SEARCH(" ",A2)))</formula>
    </cfRule>
  </conditionalFormatting>
  <conditionalFormatting sqref="B1:C1">
    <cfRule type="containsText" dxfId="8" priority="8" operator="containsText" text=" ">
      <formula>NOT(ISERROR(SEARCH(" ",B1)))</formula>
    </cfRule>
  </conditionalFormatting>
  <conditionalFormatting sqref="D1">
    <cfRule type="containsText" dxfId="7" priority="7" operator="containsText" text=" ">
      <formula>NOT(ISERROR(SEARCH(" ",D1)))</formula>
    </cfRule>
  </conditionalFormatting>
  <conditionalFormatting sqref="A2">
    <cfRule type="containsText" dxfId="6" priority="3" operator="containsText" text=" ">
      <formula>NOT(ISERROR(SEARCH(" ",A2)))</formula>
    </cfRule>
  </conditionalFormatting>
  <dataValidations count="7"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O1:O6 A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I1:I6">
      <formula1>"姓名字段,提示字段,ID字段,匿名填表,缩略显示,分类字段,覆盖上传"</formula1>
    </dataValidation>
  </dataValidations>
  <hyperlinks>
    <hyperlink ref="F5" r:id="rId1" display="http://aa.r34.cc"/>
    <hyperlink ref="F22" r:id="rId2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2" r:id="rId6" name="Button 14">
              <controlPr defaultSize="0" print="0" autoFill="0" autoPict="0" macro="[0]!UpdateBySheet">
                <anchor moveWithCells="1" sizeWithCells="1">
                  <from>
                    <xdr:col>6</xdr:col>
                    <xdr:colOff>464820</xdr:colOff>
                    <xdr:row>0</xdr:row>
                    <xdr:rowOff>0</xdr:rowOff>
                  </from>
                  <to>
                    <xdr:col>7</xdr:col>
                    <xdr:colOff>213360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25"/>
  <sheetViews>
    <sheetView zoomScaleNormal="100" workbookViewId="0">
      <selection activeCell="A22" sqref="A22"/>
    </sheetView>
  </sheetViews>
  <sheetFormatPr defaultColWidth="9" defaultRowHeight="14.4"/>
  <cols>
    <col min="1" max="1" width="8.21875" style="1" customWidth="1"/>
    <col min="2" max="2" width="13.88671875" style="1" customWidth="1"/>
    <col min="3" max="3" width="19" style="1" customWidth="1"/>
    <col min="4" max="4" width="6.21875" style="1" customWidth="1"/>
    <col min="5" max="5" width="47.44140625" style="1" customWidth="1"/>
    <col min="6" max="6" width="14.109375" style="1" customWidth="1"/>
    <col min="7" max="7" width="46.77734375" style="1" customWidth="1"/>
    <col min="8" max="8" width="13.109375" style="1" bestFit="1" customWidth="1"/>
    <col min="9" max="16384" width="9" style="1"/>
  </cols>
  <sheetData>
    <row r="1" spans="1:6" ht="128.25" customHeight="1">
      <c r="A1" s="1" t="s">
        <v>6</v>
      </c>
      <c r="B1" s="70" t="s">
        <v>139</v>
      </c>
      <c r="C1" s="70"/>
      <c r="D1" s="70"/>
      <c r="E1" s="1" t="s">
        <v>14</v>
      </c>
      <c r="F1" s="5"/>
    </row>
    <row r="2" spans="1:6">
      <c r="A2" s="1" t="s">
        <v>7</v>
      </c>
      <c r="B2" s="1" t="s">
        <v>8</v>
      </c>
    </row>
    <row r="3" spans="1:6" hidden="1"/>
    <row r="4" spans="1:6" hidden="1"/>
    <row r="5" spans="1:6" hidden="1"/>
    <row r="6" spans="1:6" hidden="1"/>
    <row r="7" spans="1:6" hidden="1"/>
    <row r="8" spans="1:6" hidden="1"/>
    <row r="9" spans="1:6" hidden="1"/>
    <row r="10" spans="1:6" hidden="1"/>
    <row r="11" spans="1:6" hidden="1"/>
    <row r="12" spans="1:6" hidden="1"/>
    <row r="13" spans="1:6" hidden="1"/>
    <row r="14" spans="1:6" hidden="1"/>
    <row r="15" spans="1:6" hidden="1"/>
    <row r="16" spans="1:6" hidden="1"/>
    <row r="17" spans="1:15" hidden="1"/>
    <row r="19" spans="1:15" s="3" customFormat="1" ht="16.8" customHeight="1">
      <c r="A19" s="2" t="s">
        <v>105</v>
      </c>
      <c r="B19" s="2" t="s">
        <v>106</v>
      </c>
      <c r="C19" s="2" t="s">
        <v>107</v>
      </c>
      <c r="D19" s="2" t="s">
        <v>108</v>
      </c>
      <c r="E19" s="2" t="s">
        <v>109</v>
      </c>
      <c r="F19" s="2" t="s">
        <v>110</v>
      </c>
      <c r="G19" s="2" t="s">
        <v>111</v>
      </c>
      <c r="H19" s="2" t="s">
        <v>112</v>
      </c>
      <c r="I19" s="2" t="s">
        <v>113</v>
      </c>
      <c r="J19" s="2" t="s">
        <v>114</v>
      </c>
      <c r="K19" s="2" t="s">
        <v>115</v>
      </c>
      <c r="L19" s="2" t="s">
        <v>116</v>
      </c>
      <c r="M19" s="2" t="s">
        <v>117</v>
      </c>
      <c r="N19" s="2" t="s">
        <v>118</v>
      </c>
      <c r="O19" s="2" t="s">
        <v>119</v>
      </c>
    </row>
    <row r="20" spans="1:15" s="3" customFormat="1" ht="16.8" customHeight="1">
      <c r="A20" s="2" t="s">
        <v>64</v>
      </c>
      <c r="B20" s="3" t="s">
        <v>55</v>
      </c>
      <c r="C20" s="3" t="s">
        <v>134</v>
      </c>
      <c r="E20" s="2" t="s">
        <v>61</v>
      </c>
      <c r="F20" s="2"/>
      <c r="G20" s="2"/>
    </row>
    <row r="21" spans="1:15" s="6" customFormat="1" ht="34.200000000000003" customHeight="1">
      <c r="A21" s="9" t="s">
        <v>146</v>
      </c>
      <c r="B21" s="6">
        <f>IF(ISERROR(VLOOKUP(A21,通讯录!A:H,5,FALSE)),"",VLOOKUP(A21,通讯录!A:H,5,FALSE))</f>
        <v>53053067</v>
      </c>
      <c r="C21" s="62" t="s">
        <v>135</v>
      </c>
      <c r="D21" s="60"/>
      <c r="E21" s="7" t="str">
        <f>CONCATENATE(F21,G21,H21,I21,J21,K21,L21,M21,N21,O21)</f>
        <v>王进利老师，您好。科研处反馈，省哲社申报时格式要求较严，请检查以下地方：</v>
      </c>
      <c r="F21" s="6" t="s">
        <v>46</v>
      </c>
      <c r="G21" s="7" t="s">
        <v>56</v>
      </c>
    </row>
    <row r="22" spans="1:15" s="6" customFormat="1" ht="28.2" customHeight="1">
      <c r="A22" s="9" t="s">
        <v>136</v>
      </c>
      <c r="B22" s="6">
        <f>IF(ISERROR(VLOOKUP(A22,通讯录!A:H,5,FALSE)),"",VLOOKUP(A22,通讯录!A:H,5,FALSE))</f>
        <v>187277552</v>
      </c>
      <c r="C22" s="62" t="s">
        <v>120</v>
      </c>
      <c r="D22" s="60"/>
      <c r="E22" s="7" t="str">
        <f>CONCATENATE(F22,G22,H22,I22,J22,K22,L22,M22,N22,O22)</f>
        <v>小黄牛老师，您好。科研处反馈，省哲社申报时格式要求较严，请检查以下地方：</v>
      </c>
      <c r="F22" s="6" t="s">
        <v>58</v>
      </c>
      <c r="G22" s="7" t="s">
        <v>56</v>
      </c>
    </row>
    <row r="23" spans="1:15" s="6" customFormat="1">
      <c r="A23" s="9"/>
      <c r="B23" s="6" t="str">
        <f>IF(ISERROR(VLOOKUP(A23,通讯录!A:H,5,FALSE)),"",VLOOKUP(A23,通讯录!A:H,5,FALSE))</f>
        <v/>
      </c>
      <c r="C23" s="7"/>
      <c r="E23" s="7" t="str">
        <f t="shared" ref="E23:E86" si="0">CONCATENATE(F23,G23,H23,I23,J23,K23,L23,M23,N23,O23)</f>
        <v/>
      </c>
    </row>
    <row r="24" spans="1:15" s="6" customFormat="1">
      <c r="A24" s="9"/>
      <c r="B24" s="6" t="str">
        <f>IF(ISERROR(VLOOKUP(A24,通讯录!A:H,5,FALSE)),"",VLOOKUP(A24,通讯录!A:H,5,FALSE))</f>
        <v/>
      </c>
      <c r="C24" s="7"/>
      <c r="E24" s="7" t="str">
        <f t="shared" si="0"/>
        <v/>
      </c>
    </row>
    <row r="25" spans="1:15" s="6" customFormat="1">
      <c r="A25" s="9"/>
      <c r="B25" s="6" t="str">
        <f>IF(ISERROR(VLOOKUP(A25,通讯录!A:H,5,FALSE)),"",VLOOKUP(A25,通讯录!A:H,5,FALSE))</f>
        <v/>
      </c>
      <c r="C25" s="7"/>
      <c r="E25" s="7" t="str">
        <f t="shared" si="0"/>
        <v/>
      </c>
    </row>
    <row r="26" spans="1:15" s="6" customFormat="1">
      <c r="A26" s="9"/>
      <c r="B26" s="6" t="str">
        <f>IF(ISERROR(VLOOKUP(A26,通讯录!A:H,5,FALSE)),"",VLOOKUP(A26,通讯录!A:H,5,FALSE))</f>
        <v/>
      </c>
      <c r="C26" s="7"/>
      <c r="E26" s="7" t="str">
        <f t="shared" si="0"/>
        <v/>
      </c>
    </row>
    <row r="27" spans="1:15" s="6" customFormat="1">
      <c r="A27" s="9"/>
      <c r="B27" s="6" t="str">
        <f>IF(ISERROR(VLOOKUP(A27,通讯录!A:H,5,FALSE)),"",VLOOKUP(A27,通讯录!A:H,5,FALSE))</f>
        <v/>
      </c>
      <c r="C27" s="7"/>
      <c r="E27" s="7" t="str">
        <f t="shared" si="0"/>
        <v/>
      </c>
    </row>
    <row r="28" spans="1:15" s="6" customFormat="1">
      <c r="A28" s="9"/>
      <c r="B28" s="6" t="str">
        <f>IF(ISERROR(VLOOKUP(A28,通讯录!A:H,5,FALSE)),"",VLOOKUP(A28,通讯录!A:H,5,FALSE))</f>
        <v/>
      </c>
      <c r="C28" s="7"/>
      <c r="E28" s="7" t="str">
        <f t="shared" si="0"/>
        <v/>
      </c>
    </row>
    <row r="29" spans="1:15" s="6" customFormat="1">
      <c r="A29" s="9"/>
      <c r="B29" s="6" t="str">
        <f>IF(ISERROR(VLOOKUP(A29,通讯录!A:H,5,FALSE)),"",VLOOKUP(A29,通讯录!A:H,5,FALSE))</f>
        <v/>
      </c>
      <c r="C29" s="7"/>
      <c r="E29" s="7" t="str">
        <f t="shared" si="0"/>
        <v/>
      </c>
    </row>
    <row r="30" spans="1:15" s="6" customFormat="1">
      <c r="A30" s="9"/>
      <c r="B30" s="6" t="str">
        <f>IF(ISERROR(VLOOKUP(A30,通讯录!A:H,5,FALSE)),"",VLOOKUP(A30,通讯录!A:H,5,FALSE))</f>
        <v/>
      </c>
      <c r="C30" s="7"/>
      <c r="E30" s="7" t="str">
        <f t="shared" si="0"/>
        <v/>
      </c>
    </row>
    <row r="31" spans="1:15" s="6" customFormat="1">
      <c r="A31" s="9"/>
      <c r="B31" s="6" t="str">
        <f>IF(ISERROR(VLOOKUP(A31,通讯录!A:H,5,FALSE)),"",VLOOKUP(A31,通讯录!A:H,5,FALSE))</f>
        <v/>
      </c>
      <c r="C31" s="7"/>
      <c r="E31" s="7" t="str">
        <f t="shared" si="0"/>
        <v/>
      </c>
    </row>
    <row r="32" spans="1:15" s="6" customFormat="1">
      <c r="A32" s="9"/>
      <c r="B32" s="6" t="str">
        <f>IF(ISERROR(VLOOKUP(A32,通讯录!A:H,5,FALSE)),"",VLOOKUP(A32,通讯录!A:H,5,FALSE))</f>
        <v/>
      </c>
      <c r="C32" s="7"/>
      <c r="E32" s="7" t="str">
        <f t="shared" si="0"/>
        <v/>
      </c>
    </row>
    <row r="33" spans="1:8" s="6" customFormat="1">
      <c r="A33" s="9"/>
      <c r="B33" s="6" t="str">
        <f>IF(ISERROR(VLOOKUP(A33,通讯录!A:H,5,FALSE)),"",VLOOKUP(A33,通讯录!A:H,5,FALSE))</f>
        <v/>
      </c>
      <c r="C33" s="7"/>
      <c r="E33" s="7" t="str">
        <f t="shared" si="0"/>
        <v/>
      </c>
    </row>
    <row r="34" spans="1:8">
      <c r="A34" s="9"/>
      <c r="B34" s="6" t="str">
        <f>IF(ISERROR(VLOOKUP(A34,通讯录!A:H,5,FALSE)),"",VLOOKUP(A34,通讯录!A:H,5,FALSE))</f>
        <v/>
      </c>
      <c r="C34" s="7"/>
      <c r="E34" s="7" t="str">
        <f t="shared" si="0"/>
        <v/>
      </c>
      <c r="H34" s="6"/>
    </row>
    <row r="35" spans="1:8">
      <c r="A35" s="9"/>
      <c r="B35" s="6" t="str">
        <f>IF(ISERROR(VLOOKUP(A35,通讯录!A:H,5,FALSE)),"",VLOOKUP(A35,通讯录!A:H,5,FALSE))</f>
        <v/>
      </c>
      <c r="C35" s="7"/>
      <c r="E35" s="7" t="str">
        <f t="shared" si="0"/>
        <v/>
      </c>
      <c r="H35" s="6"/>
    </row>
    <row r="36" spans="1:8">
      <c r="A36" s="9"/>
      <c r="B36" s="6" t="str">
        <f>IF(ISERROR(VLOOKUP(A36,通讯录!A:H,5,FALSE)),"",VLOOKUP(A36,通讯录!A:H,5,FALSE))</f>
        <v/>
      </c>
      <c r="C36" s="7"/>
      <c r="E36" s="7" t="str">
        <f t="shared" si="0"/>
        <v/>
      </c>
      <c r="H36" s="6"/>
    </row>
    <row r="37" spans="1:8">
      <c r="A37" s="9"/>
      <c r="B37" s="6" t="str">
        <f>IF(ISERROR(VLOOKUP(A37,通讯录!A:H,5,FALSE)),"",VLOOKUP(A37,通讯录!A:H,5,FALSE))</f>
        <v/>
      </c>
      <c r="C37" s="7"/>
      <c r="E37" s="7" t="str">
        <f t="shared" si="0"/>
        <v/>
      </c>
      <c r="H37" s="6"/>
    </row>
    <row r="38" spans="1:8">
      <c r="A38" s="9"/>
      <c r="B38" s="6" t="str">
        <f>IF(ISERROR(VLOOKUP(A38,通讯录!A:H,5,FALSE)),"",VLOOKUP(A38,通讯录!A:H,5,FALSE))</f>
        <v/>
      </c>
      <c r="C38" s="7"/>
      <c r="E38" s="7" t="str">
        <f t="shared" si="0"/>
        <v/>
      </c>
      <c r="H38" s="6"/>
    </row>
    <row r="39" spans="1:8">
      <c r="A39" s="9"/>
      <c r="B39" s="6" t="str">
        <f>IF(ISERROR(VLOOKUP(A39,通讯录!A:H,5,FALSE)),"",VLOOKUP(A39,通讯录!A:H,5,FALSE))</f>
        <v/>
      </c>
      <c r="C39" s="7"/>
      <c r="E39" s="7" t="str">
        <f t="shared" si="0"/>
        <v/>
      </c>
      <c r="H39" s="6"/>
    </row>
    <row r="40" spans="1:8">
      <c r="A40" s="9"/>
      <c r="B40" s="6" t="str">
        <f>IF(ISERROR(VLOOKUP(A40,通讯录!A:H,5,FALSE)),"",VLOOKUP(A40,通讯录!A:H,5,FALSE))</f>
        <v/>
      </c>
      <c r="C40" s="7"/>
      <c r="E40" s="7" t="str">
        <f t="shared" si="0"/>
        <v/>
      </c>
      <c r="H40" s="6"/>
    </row>
    <row r="41" spans="1:8">
      <c r="A41" s="9"/>
      <c r="B41" s="6" t="str">
        <f>IF(ISERROR(VLOOKUP(A41,通讯录!A:H,5,FALSE)),"",VLOOKUP(A41,通讯录!A:H,5,FALSE))</f>
        <v/>
      </c>
      <c r="C41" s="7"/>
      <c r="E41" s="7" t="str">
        <f t="shared" si="0"/>
        <v/>
      </c>
      <c r="H41" s="6"/>
    </row>
    <row r="42" spans="1:8">
      <c r="A42" s="9"/>
      <c r="B42" s="6" t="str">
        <f>IF(ISERROR(VLOOKUP(A42,通讯录!A:H,5,FALSE)),"",VLOOKUP(A42,通讯录!A:H,5,FALSE))</f>
        <v/>
      </c>
      <c r="C42" s="7"/>
      <c r="E42" s="7" t="str">
        <f t="shared" si="0"/>
        <v/>
      </c>
      <c r="H42" s="6"/>
    </row>
    <row r="43" spans="1:8">
      <c r="A43" s="9"/>
      <c r="B43" s="6" t="str">
        <f>IF(ISERROR(VLOOKUP(A43,通讯录!A:H,5,FALSE)),"",VLOOKUP(A43,通讯录!A:H,5,FALSE))</f>
        <v/>
      </c>
      <c r="C43" s="7"/>
      <c r="E43" s="7" t="str">
        <f t="shared" si="0"/>
        <v/>
      </c>
      <c r="H43" s="6"/>
    </row>
    <row r="44" spans="1:8">
      <c r="A44" s="9"/>
      <c r="B44" s="6" t="str">
        <f>IF(ISERROR(VLOOKUP(A44,通讯录!A:H,5,FALSE)),"",VLOOKUP(A44,通讯录!A:H,5,FALSE))</f>
        <v/>
      </c>
      <c r="C44" s="7"/>
      <c r="E44" s="7" t="str">
        <f t="shared" si="0"/>
        <v/>
      </c>
      <c r="H44" s="6"/>
    </row>
    <row r="45" spans="1:8">
      <c r="A45" s="9"/>
      <c r="B45" s="6" t="str">
        <f>IF(ISERROR(VLOOKUP(A45,通讯录!A:H,5,FALSE)),"",VLOOKUP(A45,通讯录!A:H,5,FALSE))</f>
        <v/>
      </c>
      <c r="C45" s="7"/>
      <c r="E45" s="7" t="str">
        <f t="shared" si="0"/>
        <v/>
      </c>
      <c r="H45" s="6"/>
    </row>
    <row r="46" spans="1:8">
      <c r="A46" s="9"/>
      <c r="B46" s="6" t="str">
        <f>IF(ISERROR(VLOOKUP(A46,通讯录!A:H,5,FALSE)),"",VLOOKUP(A46,通讯录!A:H,5,FALSE))</f>
        <v/>
      </c>
      <c r="C46" s="7"/>
      <c r="E46" s="7" t="str">
        <f t="shared" si="0"/>
        <v/>
      </c>
      <c r="H46" s="6"/>
    </row>
    <row r="47" spans="1:8">
      <c r="A47" s="9"/>
      <c r="B47" s="6" t="str">
        <f>IF(ISERROR(VLOOKUP(A47,通讯录!A:H,5,FALSE)),"",VLOOKUP(A47,通讯录!A:H,5,FALSE))</f>
        <v/>
      </c>
      <c r="C47" s="7"/>
      <c r="E47" s="7" t="str">
        <f t="shared" si="0"/>
        <v/>
      </c>
      <c r="H47" s="6"/>
    </row>
    <row r="48" spans="1:8">
      <c r="A48" s="9"/>
      <c r="B48" s="6" t="str">
        <f>IF(ISERROR(VLOOKUP(A48,通讯录!A:H,5,FALSE)),"",VLOOKUP(A48,通讯录!A:H,5,FALSE))</f>
        <v/>
      </c>
      <c r="C48" s="7"/>
      <c r="E48" s="7" t="str">
        <f t="shared" si="0"/>
        <v/>
      </c>
      <c r="H48" s="6"/>
    </row>
    <row r="49" spans="1:8">
      <c r="A49" s="9"/>
      <c r="B49" s="6" t="str">
        <f>IF(ISERROR(VLOOKUP(A49,通讯录!A:H,5,FALSE)),"",VLOOKUP(A49,通讯录!A:H,5,FALSE))</f>
        <v/>
      </c>
      <c r="C49" s="7"/>
      <c r="E49" s="7" t="str">
        <f t="shared" si="0"/>
        <v/>
      </c>
      <c r="H49" s="6"/>
    </row>
    <row r="50" spans="1:8">
      <c r="A50" s="9"/>
      <c r="B50" s="6" t="str">
        <f>IF(ISERROR(VLOOKUP(A50,通讯录!A:H,5,FALSE)),"",VLOOKUP(A50,通讯录!A:H,5,FALSE))</f>
        <v/>
      </c>
      <c r="C50" s="7"/>
      <c r="E50" s="7" t="str">
        <f t="shared" si="0"/>
        <v/>
      </c>
      <c r="H50" s="6"/>
    </row>
    <row r="51" spans="1:8">
      <c r="A51" s="9"/>
      <c r="B51" s="6" t="str">
        <f>IF(ISERROR(VLOOKUP(A51,通讯录!A:H,5,FALSE)),"",VLOOKUP(A51,通讯录!A:H,5,FALSE))</f>
        <v/>
      </c>
      <c r="C51" s="7"/>
      <c r="E51" s="7" t="str">
        <f t="shared" si="0"/>
        <v/>
      </c>
      <c r="H51" s="6"/>
    </row>
    <row r="52" spans="1:8">
      <c r="A52" s="9"/>
      <c r="B52" s="6" t="str">
        <f>IF(ISERROR(VLOOKUP(A52,通讯录!A:H,5,FALSE)),"",VLOOKUP(A52,通讯录!A:H,5,FALSE))</f>
        <v/>
      </c>
      <c r="C52" s="7"/>
      <c r="E52" s="7" t="str">
        <f t="shared" si="0"/>
        <v/>
      </c>
      <c r="H52" s="6"/>
    </row>
    <row r="53" spans="1:8">
      <c r="A53" s="9"/>
      <c r="B53" s="6" t="str">
        <f>IF(ISERROR(VLOOKUP(A53,通讯录!A:H,5,FALSE)),"",VLOOKUP(A53,通讯录!A:H,5,FALSE))</f>
        <v/>
      </c>
      <c r="C53" s="7"/>
      <c r="E53" s="7" t="str">
        <f t="shared" si="0"/>
        <v/>
      </c>
      <c r="H53" s="6"/>
    </row>
    <row r="54" spans="1:8">
      <c r="A54" s="9"/>
      <c r="B54" s="6" t="str">
        <f>IF(ISERROR(VLOOKUP(A54,通讯录!A:H,5,FALSE)),"",VLOOKUP(A54,通讯录!A:H,5,FALSE))</f>
        <v/>
      </c>
      <c r="C54" s="7"/>
      <c r="E54" s="7" t="str">
        <f t="shared" si="0"/>
        <v/>
      </c>
      <c r="H54" s="6"/>
    </row>
    <row r="55" spans="1:8">
      <c r="A55" s="9"/>
      <c r="B55" s="6" t="str">
        <f>IF(ISERROR(VLOOKUP(A55,通讯录!A:H,5,FALSE)),"",VLOOKUP(A55,通讯录!A:H,5,FALSE))</f>
        <v/>
      </c>
      <c r="C55" s="7"/>
      <c r="E55" s="7" t="str">
        <f t="shared" si="0"/>
        <v/>
      </c>
      <c r="H55" s="6"/>
    </row>
    <row r="56" spans="1:8">
      <c r="A56" s="9"/>
      <c r="B56" s="6" t="str">
        <f>IF(ISERROR(VLOOKUP(A56,通讯录!A:H,5,FALSE)),"",VLOOKUP(A56,通讯录!A:H,5,FALSE))</f>
        <v/>
      </c>
      <c r="C56" s="7"/>
      <c r="E56" s="7" t="str">
        <f t="shared" si="0"/>
        <v/>
      </c>
      <c r="H56" s="6"/>
    </row>
    <row r="57" spans="1:8">
      <c r="A57" s="9"/>
      <c r="B57" s="6" t="str">
        <f>IF(ISERROR(VLOOKUP(A57,通讯录!A:H,5,FALSE)),"",VLOOKUP(A57,通讯录!A:H,5,FALSE))</f>
        <v/>
      </c>
      <c r="C57" s="7"/>
      <c r="E57" s="7" t="str">
        <f t="shared" si="0"/>
        <v/>
      </c>
      <c r="H57" s="6"/>
    </row>
    <row r="58" spans="1:8">
      <c r="A58" s="9"/>
      <c r="B58" s="6" t="str">
        <f>IF(ISERROR(VLOOKUP(A58,通讯录!A:H,5,FALSE)),"",VLOOKUP(A58,通讯录!A:H,5,FALSE))</f>
        <v/>
      </c>
      <c r="C58" s="7"/>
      <c r="E58" s="7" t="str">
        <f t="shared" si="0"/>
        <v/>
      </c>
      <c r="H58" s="6"/>
    </row>
    <row r="59" spans="1:8">
      <c r="A59" s="9"/>
      <c r="B59" s="6" t="str">
        <f>IF(ISERROR(VLOOKUP(A59,通讯录!A:H,5,FALSE)),"",VLOOKUP(A59,通讯录!A:H,5,FALSE))</f>
        <v/>
      </c>
      <c r="C59" s="7"/>
      <c r="E59" s="7" t="str">
        <f t="shared" si="0"/>
        <v/>
      </c>
      <c r="H59" s="6"/>
    </row>
    <row r="60" spans="1:8">
      <c r="A60" s="9"/>
      <c r="B60" s="6" t="str">
        <f>IF(ISERROR(VLOOKUP(A60,通讯录!A:H,5,FALSE)),"",VLOOKUP(A60,通讯录!A:H,5,FALSE))</f>
        <v/>
      </c>
      <c r="C60" s="7"/>
      <c r="E60" s="7" t="str">
        <f t="shared" si="0"/>
        <v/>
      </c>
      <c r="H60" s="6"/>
    </row>
    <row r="61" spans="1:8">
      <c r="A61" s="9"/>
      <c r="B61" s="6" t="str">
        <f>IF(ISERROR(VLOOKUP(A61,通讯录!A:H,5,FALSE)),"",VLOOKUP(A61,通讯录!A:H,5,FALSE))</f>
        <v/>
      </c>
      <c r="C61" s="7"/>
      <c r="E61" s="7" t="str">
        <f t="shared" si="0"/>
        <v/>
      </c>
      <c r="H61" s="6"/>
    </row>
    <row r="62" spans="1:8">
      <c r="A62" s="9"/>
      <c r="B62" s="6" t="str">
        <f>IF(ISERROR(VLOOKUP(A62,通讯录!A:H,5,FALSE)),"",VLOOKUP(A62,通讯录!A:H,5,FALSE))</f>
        <v/>
      </c>
      <c r="C62" s="7"/>
      <c r="E62" s="7" t="str">
        <f t="shared" si="0"/>
        <v/>
      </c>
      <c r="H62" s="6"/>
    </row>
    <row r="63" spans="1:8">
      <c r="A63" s="9"/>
      <c r="B63" s="6" t="str">
        <f>IF(ISERROR(VLOOKUP(A63,通讯录!A:H,5,FALSE)),"",VLOOKUP(A63,通讯录!A:H,5,FALSE))</f>
        <v/>
      </c>
      <c r="C63" s="7"/>
      <c r="E63" s="7" t="str">
        <f t="shared" si="0"/>
        <v/>
      </c>
      <c r="H63" s="6"/>
    </row>
    <row r="64" spans="1:8">
      <c r="A64" s="9"/>
      <c r="B64" s="6" t="str">
        <f>IF(ISERROR(VLOOKUP(A64,通讯录!A:H,5,FALSE)),"",VLOOKUP(A64,通讯录!A:H,5,FALSE))</f>
        <v/>
      </c>
      <c r="C64" s="7"/>
      <c r="E64" s="7" t="str">
        <f t="shared" si="0"/>
        <v/>
      </c>
      <c r="H64" s="6"/>
    </row>
    <row r="65" spans="1:8">
      <c r="A65" s="9"/>
      <c r="B65" s="6" t="str">
        <f>IF(ISERROR(VLOOKUP(A65,通讯录!A:H,5,FALSE)),"",VLOOKUP(A65,通讯录!A:H,5,FALSE))</f>
        <v/>
      </c>
      <c r="C65" s="7"/>
      <c r="E65" s="7" t="str">
        <f t="shared" si="0"/>
        <v/>
      </c>
      <c r="H65" s="6"/>
    </row>
    <row r="66" spans="1:8">
      <c r="A66" s="9"/>
      <c r="B66" s="6" t="str">
        <f>IF(ISERROR(VLOOKUP(A66,通讯录!A:H,5,FALSE)),"",VLOOKUP(A66,通讯录!A:H,5,FALSE))</f>
        <v/>
      </c>
      <c r="C66" s="7"/>
      <c r="E66" s="7" t="str">
        <f t="shared" si="0"/>
        <v/>
      </c>
      <c r="H66" s="6"/>
    </row>
    <row r="67" spans="1:8">
      <c r="A67" s="9"/>
      <c r="B67" s="6" t="str">
        <f>IF(ISERROR(VLOOKUP(A67,通讯录!A:H,5,FALSE)),"",VLOOKUP(A67,通讯录!A:H,5,FALSE))</f>
        <v/>
      </c>
      <c r="C67" s="7"/>
      <c r="E67" s="7" t="str">
        <f t="shared" si="0"/>
        <v/>
      </c>
      <c r="H67" s="6"/>
    </row>
    <row r="68" spans="1:8">
      <c r="A68" s="9"/>
      <c r="B68" s="6" t="str">
        <f>IF(ISERROR(VLOOKUP(A68,通讯录!A:H,5,FALSE)),"",VLOOKUP(A68,通讯录!A:H,5,FALSE))</f>
        <v/>
      </c>
      <c r="C68" s="7"/>
      <c r="E68" s="7" t="str">
        <f t="shared" si="0"/>
        <v/>
      </c>
      <c r="H68" s="6"/>
    </row>
    <row r="69" spans="1:8">
      <c r="A69" s="9"/>
      <c r="B69" s="6" t="str">
        <f>IF(ISERROR(VLOOKUP(A69,通讯录!A:H,5,FALSE)),"",VLOOKUP(A69,通讯录!A:H,5,FALSE))</f>
        <v/>
      </c>
      <c r="C69" s="7"/>
      <c r="E69" s="7" t="str">
        <f t="shared" si="0"/>
        <v/>
      </c>
      <c r="H69" s="6"/>
    </row>
    <row r="70" spans="1:8">
      <c r="A70" s="9"/>
      <c r="B70" s="6" t="str">
        <f>IF(ISERROR(VLOOKUP(A70,通讯录!A:H,5,FALSE)),"",VLOOKUP(A70,通讯录!A:H,5,FALSE))</f>
        <v/>
      </c>
      <c r="C70" s="7"/>
      <c r="E70" s="7" t="str">
        <f t="shared" si="0"/>
        <v/>
      </c>
      <c r="H70" s="6"/>
    </row>
    <row r="71" spans="1:8">
      <c r="A71" s="9"/>
      <c r="B71" s="6" t="str">
        <f>IF(ISERROR(VLOOKUP(A71,通讯录!A:H,5,FALSE)),"",VLOOKUP(A71,通讯录!A:H,5,FALSE))</f>
        <v/>
      </c>
      <c r="C71" s="7"/>
      <c r="E71" s="7" t="str">
        <f t="shared" si="0"/>
        <v/>
      </c>
      <c r="H71" s="6"/>
    </row>
    <row r="72" spans="1:8">
      <c r="A72" s="9"/>
      <c r="B72" s="6" t="str">
        <f>IF(ISERROR(VLOOKUP(A72,通讯录!A:H,5,FALSE)),"",VLOOKUP(A72,通讯录!A:H,5,FALSE))</f>
        <v/>
      </c>
      <c r="C72" s="7"/>
      <c r="E72" s="7" t="str">
        <f t="shared" si="0"/>
        <v/>
      </c>
      <c r="H72" s="6"/>
    </row>
    <row r="73" spans="1:8">
      <c r="A73" s="9"/>
      <c r="B73" s="6" t="str">
        <f>IF(ISERROR(VLOOKUP(A73,通讯录!A:H,5,FALSE)),"",VLOOKUP(A73,通讯录!A:H,5,FALSE))</f>
        <v/>
      </c>
      <c r="C73" s="7"/>
      <c r="E73" s="7" t="str">
        <f t="shared" si="0"/>
        <v/>
      </c>
      <c r="H73" s="6"/>
    </row>
    <row r="74" spans="1:8">
      <c r="A74" s="9"/>
      <c r="B74" s="6" t="str">
        <f>IF(ISERROR(VLOOKUP(A74,通讯录!A:H,5,FALSE)),"",VLOOKUP(A74,通讯录!A:H,5,FALSE))</f>
        <v/>
      </c>
      <c r="C74" s="7"/>
      <c r="E74" s="7" t="str">
        <f t="shared" si="0"/>
        <v/>
      </c>
      <c r="H74" s="6"/>
    </row>
    <row r="75" spans="1:8">
      <c r="A75" s="9"/>
      <c r="B75" s="6" t="str">
        <f>IF(ISERROR(VLOOKUP(A75,通讯录!A:H,5,FALSE)),"",VLOOKUP(A75,通讯录!A:H,5,FALSE))</f>
        <v/>
      </c>
      <c r="C75" s="7"/>
      <c r="E75" s="7" t="str">
        <f t="shared" si="0"/>
        <v/>
      </c>
      <c r="H75" s="6"/>
    </row>
    <row r="76" spans="1:8">
      <c r="A76" s="9"/>
      <c r="B76" s="6" t="str">
        <f>IF(ISERROR(VLOOKUP(A76,通讯录!A:H,5,FALSE)),"",VLOOKUP(A76,通讯录!A:H,5,FALSE))</f>
        <v/>
      </c>
      <c r="C76" s="7"/>
      <c r="E76" s="7" t="str">
        <f t="shared" si="0"/>
        <v/>
      </c>
      <c r="H76" s="6"/>
    </row>
    <row r="77" spans="1:8">
      <c r="A77" s="9"/>
      <c r="B77" s="6" t="str">
        <f>IF(ISERROR(VLOOKUP(A77,通讯录!A:H,5,FALSE)),"",VLOOKUP(A77,通讯录!A:H,5,FALSE))</f>
        <v/>
      </c>
      <c r="C77" s="7"/>
      <c r="E77" s="7" t="str">
        <f t="shared" si="0"/>
        <v/>
      </c>
      <c r="H77" s="6"/>
    </row>
    <row r="78" spans="1:8">
      <c r="A78" s="9"/>
      <c r="B78" s="6" t="str">
        <f>IF(ISERROR(VLOOKUP(A78,通讯录!A:H,5,FALSE)),"",VLOOKUP(A78,通讯录!A:H,5,FALSE))</f>
        <v/>
      </c>
      <c r="C78" s="7"/>
      <c r="E78" s="7" t="str">
        <f t="shared" si="0"/>
        <v/>
      </c>
      <c r="H78" s="6"/>
    </row>
    <row r="79" spans="1:8">
      <c r="A79" s="9"/>
      <c r="B79" s="6" t="str">
        <f>IF(ISERROR(VLOOKUP(A79,通讯录!A:H,5,FALSE)),"",VLOOKUP(A79,通讯录!A:H,5,FALSE))</f>
        <v/>
      </c>
      <c r="C79" s="7"/>
      <c r="E79" s="7" t="str">
        <f t="shared" si="0"/>
        <v/>
      </c>
      <c r="H79" s="6"/>
    </row>
    <row r="80" spans="1:8">
      <c r="A80" s="9"/>
      <c r="B80" s="6" t="str">
        <f>IF(ISERROR(VLOOKUP(A80,通讯录!A:H,5,FALSE)),"",VLOOKUP(A80,通讯录!A:H,5,FALSE))</f>
        <v/>
      </c>
      <c r="C80" s="7"/>
      <c r="E80" s="7" t="str">
        <f t="shared" si="0"/>
        <v/>
      </c>
      <c r="H80" s="6"/>
    </row>
    <row r="81" spans="1:8">
      <c r="A81" s="9"/>
      <c r="B81" s="6" t="str">
        <f>IF(ISERROR(VLOOKUP(A81,通讯录!A:H,5,FALSE)),"",VLOOKUP(A81,通讯录!A:H,5,FALSE))</f>
        <v/>
      </c>
      <c r="C81" s="7"/>
      <c r="E81" s="7" t="str">
        <f t="shared" si="0"/>
        <v/>
      </c>
      <c r="H81" s="6"/>
    </row>
    <row r="82" spans="1:8">
      <c r="A82" s="9"/>
      <c r="B82" s="6" t="str">
        <f>IF(ISERROR(VLOOKUP(A82,通讯录!A:H,5,FALSE)),"",VLOOKUP(A82,通讯录!A:H,5,FALSE))</f>
        <v/>
      </c>
      <c r="C82" s="7"/>
      <c r="E82" s="7" t="str">
        <f t="shared" si="0"/>
        <v/>
      </c>
      <c r="H82" s="6"/>
    </row>
    <row r="83" spans="1:8">
      <c r="A83" s="9"/>
      <c r="B83" s="6" t="str">
        <f>IF(ISERROR(VLOOKUP(A83,通讯录!A:H,5,FALSE)),"",VLOOKUP(A83,通讯录!A:H,5,FALSE))</f>
        <v/>
      </c>
      <c r="C83" s="7"/>
      <c r="E83" s="7" t="str">
        <f t="shared" si="0"/>
        <v/>
      </c>
      <c r="H83" s="6"/>
    </row>
    <row r="84" spans="1:8">
      <c r="A84" s="9"/>
      <c r="B84" s="6" t="str">
        <f>IF(ISERROR(VLOOKUP(A84,通讯录!A:H,5,FALSE)),"",VLOOKUP(A84,通讯录!A:H,5,FALSE))</f>
        <v/>
      </c>
      <c r="C84" s="7"/>
      <c r="E84" s="7" t="str">
        <f t="shared" si="0"/>
        <v/>
      </c>
      <c r="H84" s="6"/>
    </row>
    <row r="85" spans="1:8">
      <c r="A85" s="9"/>
      <c r="B85" s="6" t="str">
        <f>IF(ISERROR(VLOOKUP(A85,通讯录!A:H,5,FALSE)),"",VLOOKUP(A85,通讯录!A:H,5,FALSE))</f>
        <v/>
      </c>
      <c r="C85" s="7"/>
      <c r="E85" s="7" t="str">
        <f t="shared" si="0"/>
        <v/>
      </c>
      <c r="H85" s="6"/>
    </row>
    <row r="86" spans="1:8">
      <c r="A86" s="9"/>
      <c r="B86" s="6" t="str">
        <f>IF(ISERROR(VLOOKUP(A86,通讯录!A:H,5,FALSE)),"",VLOOKUP(A86,通讯录!A:H,5,FALSE))</f>
        <v/>
      </c>
      <c r="C86" s="7"/>
      <c r="E86" s="7" t="str">
        <f t="shared" si="0"/>
        <v/>
      </c>
      <c r="H86" s="6"/>
    </row>
    <row r="87" spans="1:8">
      <c r="A87" s="9"/>
      <c r="B87" s="6" t="str">
        <f>IF(ISERROR(VLOOKUP(A87,通讯录!A:H,5,FALSE)),"",VLOOKUP(A87,通讯录!A:H,5,FALSE))</f>
        <v/>
      </c>
      <c r="C87" s="7"/>
      <c r="E87" s="7" t="str">
        <f t="shared" ref="E87:E100" si="1">CONCATENATE(F87,G87,H87,I87,J87,K87,L87,M87,N87,O87)</f>
        <v/>
      </c>
      <c r="H87" s="6"/>
    </row>
    <row r="88" spans="1:8">
      <c r="A88" s="9"/>
      <c r="B88" s="6" t="str">
        <f>IF(ISERROR(VLOOKUP(A88,通讯录!A:H,5,FALSE)),"",VLOOKUP(A88,通讯录!A:H,5,FALSE))</f>
        <v/>
      </c>
      <c r="C88" s="7"/>
      <c r="E88" s="7" t="str">
        <f t="shared" si="1"/>
        <v/>
      </c>
      <c r="H88" s="6"/>
    </row>
    <row r="89" spans="1:8">
      <c r="A89" s="9"/>
      <c r="B89" s="6" t="str">
        <f>IF(ISERROR(VLOOKUP(A89,通讯录!A:H,5,FALSE)),"",VLOOKUP(A89,通讯录!A:H,5,FALSE))</f>
        <v/>
      </c>
      <c r="C89" s="7"/>
      <c r="E89" s="7" t="str">
        <f t="shared" si="1"/>
        <v/>
      </c>
      <c r="H89" s="6"/>
    </row>
    <row r="90" spans="1:8">
      <c r="A90" s="9"/>
      <c r="B90" s="6" t="str">
        <f>IF(ISERROR(VLOOKUP(A90,通讯录!A:H,5,FALSE)),"",VLOOKUP(A90,通讯录!A:H,5,FALSE))</f>
        <v/>
      </c>
      <c r="C90" s="7"/>
      <c r="E90" s="7" t="str">
        <f t="shared" si="1"/>
        <v/>
      </c>
      <c r="H90" s="6"/>
    </row>
    <row r="91" spans="1:8">
      <c r="A91" s="9"/>
      <c r="B91" s="6" t="str">
        <f>IF(ISERROR(VLOOKUP(A91,通讯录!A:H,5,FALSE)),"",VLOOKUP(A91,通讯录!A:H,5,FALSE))</f>
        <v/>
      </c>
      <c r="C91" s="7"/>
      <c r="E91" s="7" t="str">
        <f t="shared" si="1"/>
        <v/>
      </c>
      <c r="H91" s="6"/>
    </row>
    <row r="92" spans="1:8">
      <c r="A92" s="9"/>
      <c r="B92" s="6" t="str">
        <f>IF(ISERROR(VLOOKUP(A92,通讯录!A:H,5,FALSE)),"",VLOOKUP(A92,通讯录!A:H,5,FALSE))</f>
        <v/>
      </c>
      <c r="C92" s="7"/>
      <c r="E92" s="7" t="str">
        <f t="shared" si="1"/>
        <v/>
      </c>
      <c r="H92" s="6"/>
    </row>
    <row r="93" spans="1:8">
      <c r="A93" s="9"/>
      <c r="B93" s="6" t="str">
        <f>IF(ISERROR(VLOOKUP(A93,通讯录!A:H,5,FALSE)),"",VLOOKUP(A93,通讯录!A:H,5,FALSE))</f>
        <v/>
      </c>
      <c r="E93" s="7" t="str">
        <f t="shared" si="1"/>
        <v/>
      </c>
      <c r="H93" s="6"/>
    </row>
    <row r="94" spans="1:8">
      <c r="A94" s="9"/>
      <c r="B94" s="6" t="str">
        <f>IF(ISERROR(VLOOKUP(A94,通讯录!A:H,5,FALSE)),"",VLOOKUP(A94,通讯录!A:H,5,FALSE))</f>
        <v/>
      </c>
      <c r="E94" s="7" t="str">
        <f t="shared" si="1"/>
        <v/>
      </c>
      <c r="H94" s="6"/>
    </row>
    <row r="95" spans="1:8">
      <c r="A95" s="9"/>
      <c r="B95" s="6" t="str">
        <f>IF(ISERROR(VLOOKUP(A95,通讯录!A:H,5,FALSE)),"",VLOOKUP(A95,通讯录!A:H,5,FALSE))</f>
        <v/>
      </c>
      <c r="E95" s="7" t="str">
        <f t="shared" si="1"/>
        <v/>
      </c>
      <c r="H95" s="6"/>
    </row>
    <row r="96" spans="1:8">
      <c r="A96" s="9"/>
      <c r="B96" s="6" t="str">
        <f>IF(ISERROR(VLOOKUP(A96,通讯录!A:H,5,FALSE)),"",VLOOKUP(A96,通讯录!A:H,5,FALSE))</f>
        <v/>
      </c>
      <c r="E96" s="7" t="str">
        <f t="shared" si="1"/>
        <v/>
      </c>
      <c r="H96" s="6"/>
    </row>
    <row r="97" spans="1:8">
      <c r="A97" s="9"/>
      <c r="B97" s="6" t="str">
        <f>IF(ISERROR(VLOOKUP(A97,通讯录!A:H,5,FALSE)),"",VLOOKUP(A97,通讯录!A:H,5,FALSE))</f>
        <v/>
      </c>
      <c r="E97" s="7" t="str">
        <f t="shared" si="1"/>
        <v/>
      </c>
      <c r="H97" s="6"/>
    </row>
    <row r="98" spans="1:8">
      <c r="A98" s="9"/>
      <c r="B98" s="6" t="str">
        <f>IF(ISERROR(VLOOKUP(A98,通讯录!A:H,5,FALSE)),"",VLOOKUP(A98,通讯录!A:H,5,FALSE))</f>
        <v/>
      </c>
      <c r="E98" s="7" t="str">
        <f t="shared" si="1"/>
        <v/>
      </c>
      <c r="H98" s="6"/>
    </row>
    <row r="99" spans="1:8">
      <c r="A99" s="9"/>
      <c r="B99" s="6" t="str">
        <f>IF(ISERROR(VLOOKUP(A99,通讯录!A:H,5,FALSE)),"",VLOOKUP(A99,通讯录!A:H,5,FALSE))</f>
        <v/>
      </c>
      <c r="E99" s="7" t="str">
        <f t="shared" si="1"/>
        <v/>
      </c>
      <c r="H99" s="6"/>
    </row>
    <row r="100" spans="1:8">
      <c r="A100" s="9"/>
      <c r="B100" s="6" t="str">
        <f>IF(ISERROR(VLOOKUP(A100,通讯录!A:H,5,FALSE)),"",VLOOKUP(A100,通讯录!A:H,5,FALSE))</f>
        <v/>
      </c>
      <c r="E100" s="7" t="str">
        <f t="shared" si="1"/>
        <v/>
      </c>
      <c r="H100" s="6"/>
    </row>
    <row r="101" spans="1:8">
      <c r="H101" s="6"/>
    </row>
    <row r="102" spans="1:8">
      <c r="H102" s="6"/>
    </row>
    <row r="103" spans="1:8">
      <c r="H103" s="6"/>
    </row>
    <row r="104" spans="1:8">
      <c r="H104" s="6"/>
    </row>
    <row r="105" spans="1:8">
      <c r="H105" s="6"/>
    </row>
    <row r="106" spans="1:8">
      <c r="H106" s="6"/>
    </row>
    <row r="107" spans="1:8">
      <c r="H107" s="6"/>
    </row>
    <row r="108" spans="1:8">
      <c r="H108" s="6"/>
    </row>
    <row r="109" spans="1:8">
      <c r="H109" s="6"/>
    </row>
    <row r="110" spans="1:8">
      <c r="H110" s="6"/>
    </row>
    <row r="111" spans="1:8">
      <c r="H111" s="6"/>
    </row>
    <row r="112" spans="1:8">
      <c r="H112" s="6"/>
    </row>
    <row r="113" spans="8:8">
      <c r="H113" s="6"/>
    </row>
    <row r="114" spans="8:8">
      <c r="H114" s="6"/>
    </row>
    <row r="115" spans="8:8">
      <c r="H115" s="6"/>
    </row>
    <row r="116" spans="8:8">
      <c r="H116" s="6"/>
    </row>
    <row r="117" spans="8:8">
      <c r="H117" s="6"/>
    </row>
    <row r="118" spans="8:8">
      <c r="H118" s="6"/>
    </row>
    <row r="119" spans="8:8">
      <c r="H119" s="6"/>
    </row>
    <row r="120" spans="8:8">
      <c r="H120" s="6"/>
    </row>
    <row r="121" spans="8:8">
      <c r="H121" s="6"/>
    </row>
    <row r="122" spans="8:8">
      <c r="H122" s="6"/>
    </row>
    <row r="123" spans="8:8">
      <c r="H123" s="6"/>
    </row>
    <row r="124" spans="8:8">
      <c r="H124" s="6"/>
    </row>
    <row r="125" spans="8:8">
      <c r="H125" s="6"/>
    </row>
  </sheetData>
  <mergeCells count="1">
    <mergeCell ref="B1:D1"/>
  </mergeCells>
  <phoneticPr fontId="2" type="noConversion"/>
  <dataValidations disablePrompts="1" count="1">
    <dataValidation type="list" allowBlank="1" showInputMessage="1" showErrorMessage="1" sqref="J1">
      <formula1>"QQ粘贴并回车.vbs,发QQ消息可用.vbs"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tofirst">
                <anchor>
                  <from>
                    <xdr:col>4</xdr:col>
                    <xdr:colOff>1386840</xdr:colOff>
                    <xdr:row>0</xdr:row>
                    <xdr:rowOff>0</xdr:rowOff>
                  </from>
                  <to>
                    <xdr:col>4</xdr:col>
                    <xdr:colOff>2057400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批量发送_Click">
                <anchor>
                  <from>
                    <xdr:col>4</xdr:col>
                    <xdr:colOff>2484120</xdr:colOff>
                    <xdr:row>0</xdr:row>
                    <xdr:rowOff>0</xdr:rowOff>
                  </from>
                  <to>
                    <xdr:col>5</xdr:col>
                    <xdr:colOff>297180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批量替换并生成文件">
                <anchor>
                  <from>
                    <xdr:col>5</xdr:col>
                    <xdr:colOff>563880</xdr:colOff>
                    <xdr:row>0</xdr:row>
                    <xdr:rowOff>0</xdr:rowOff>
                  </from>
                  <to>
                    <xdr:col>6</xdr:col>
                    <xdr:colOff>419100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100"/>
  <sheetViews>
    <sheetView zoomScaleNormal="100" workbookViewId="0">
      <selection activeCell="F1" sqref="F1"/>
    </sheetView>
  </sheetViews>
  <sheetFormatPr defaultColWidth="9" defaultRowHeight="14.4"/>
  <cols>
    <col min="1" max="1" width="9.33203125" style="6" customWidth="1"/>
    <col min="2" max="2" width="12.6640625" style="6" customWidth="1"/>
    <col min="3" max="3" width="13" style="6" customWidth="1"/>
    <col min="4" max="4" width="14.5546875" style="6" customWidth="1"/>
    <col min="5" max="5" width="46.6640625" style="6" customWidth="1"/>
    <col min="6" max="6" width="8.21875" style="6" customWidth="1"/>
    <col min="7" max="7" width="64.44140625" style="6" customWidth="1"/>
    <col min="8" max="8" width="13.109375" style="6" bestFit="1" customWidth="1"/>
    <col min="9" max="16384" width="9" style="6"/>
  </cols>
  <sheetData>
    <row r="1" spans="1:6" ht="70.8" customHeight="1">
      <c r="A1" s="6" t="s">
        <v>6</v>
      </c>
      <c r="B1" s="71" t="s">
        <v>149</v>
      </c>
      <c r="C1" s="71"/>
      <c r="D1" s="71"/>
      <c r="E1" s="6" t="s">
        <v>14</v>
      </c>
      <c r="F1" s="7" t="s">
        <v>150</v>
      </c>
    </row>
    <row r="2" spans="1:6">
      <c r="A2" s="6" t="s">
        <v>7</v>
      </c>
      <c r="B2" s="6" t="s">
        <v>8</v>
      </c>
    </row>
    <row r="4" spans="1:6" hidden="1"/>
    <row r="5" spans="1:6" hidden="1"/>
    <row r="6" spans="1:6" hidden="1"/>
    <row r="7" spans="1:6" hidden="1"/>
    <row r="8" spans="1:6" hidden="1"/>
    <row r="9" spans="1:6" hidden="1"/>
    <row r="10" spans="1:6" hidden="1"/>
    <row r="11" spans="1:6" hidden="1"/>
    <row r="12" spans="1:6" hidden="1"/>
    <row r="13" spans="1:6" hidden="1"/>
    <row r="14" spans="1:6" hidden="1"/>
    <row r="15" spans="1:6" hidden="1"/>
    <row r="16" spans="1:6" hidden="1"/>
    <row r="17" spans="1:15" hidden="1"/>
    <row r="18" spans="1:15" hidden="1"/>
    <row r="19" spans="1:15" s="3" customFormat="1" ht="16.8" customHeight="1">
      <c r="A19" s="2" t="s">
        <v>105</v>
      </c>
      <c r="B19" s="2" t="s">
        <v>106</v>
      </c>
      <c r="C19" s="2" t="s">
        <v>107</v>
      </c>
      <c r="D19" s="2" t="s">
        <v>108</v>
      </c>
      <c r="E19" s="2" t="s">
        <v>109</v>
      </c>
      <c r="F19" s="2" t="s">
        <v>110</v>
      </c>
      <c r="G19" s="2" t="s">
        <v>111</v>
      </c>
      <c r="H19" s="2" t="s">
        <v>112</v>
      </c>
      <c r="I19" s="2" t="s">
        <v>113</v>
      </c>
      <c r="J19" s="2" t="s">
        <v>114</v>
      </c>
      <c r="K19" s="2" t="s">
        <v>115</v>
      </c>
      <c r="L19" s="2" t="s">
        <v>116</v>
      </c>
      <c r="M19" s="2" t="s">
        <v>117</v>
      </c>
      <c r="N19" s="2" t="s">
        <v>118</v>
      </c>
      <c r="O19" s="2" t="s">
        <v>119</v>
      </c>
    </row>
    <row r="20" spans="1:15" s="3" customFormat="1" ht="16.8" customHeight="1">
      <c r="A20" s="2" t="s">
        <v>60</v>
      </c>
      <c r="B20" s="3" t="s">
        <v>137</v>
      </c>
      <c r="C20" s="3" t="s">
        <v>134</v>
      </c>
      <c r="E20" s="2" t="s">
        <v>61</v>
      </c>
      <c r="F20" s="2"/>
      <c r="G20" s="2"/>
    </row>
    <row r="21" spans="1:15" ht="34.200000000000003" customHeight="1">
      <c r="A21" s="9" t="s">
        <v>144</v>
      </c>
      <c r="B21" s="6" t="str">
        <f>IF(ISERROR(VLOOKUP(A21,通讯录!A:H,7,FALSE)),"",VLOOKUP(A21,通讯录!A:H,7,FALSE))</f>
        <v/>
      </c>
      <c r="C21" s="62" t="s">
        <v>120</v>
      </c>
      <c r="D21" s="60"/>
      <c r="E21" s="6" t="str">
        <f>CONCATENATE(F21,G21,H21,I21,J21,K21,L21)</f>
        <v>王进利老师，测试222.</v>
      </c>
      <c r="F21" s="6" t="s">
        <v>46</v>
      </c>
      <c r="G21" s="7" t="s">
        <v>104</v>
      </c>
    </row>
    <row r="22" spans="1:15" ht="28.2" customHeight="1">
      <c r="A22" s="9" t="s">
        <v>58</v>
      </c>
      <c r="B22" s="6" t="str">
        <f>IF(ISERROR(VLOOKUP(A22,通讯录!A:H,7,FALSE)),"",VLOOKUP(A22,通讯录!A:H,7,FALSE))</f>
        <v>老黄牛小号</v>
      </c>
      <c r="C22" s="62" t="s">
        <v>120</v>
      </c>
      <c r="D22" s="60"/>
      <c r="E22" s="6" t="str">
        <f>CONCATENATE(F22,G22,H22,I22,J22,K22,L22)</f>
        <v>小黄牛老师，您好。科研处反馈，省哲社申报时格式要求较严，请检查以下地方：</v>
      </c>
      <c r="F22" s="6" t="s">
        <v>58</v>
      </c>
      <c r="G22" s="7" t="s">
        <v>56</v>
      </c>
    </row>
    <row r="23" spans="1:15">
      <c r="A23" s="9"/>
      <c r="B23" s="6" t="str">
        <f>IF(ISERROR(VLOOKUP(A23,通讯录!A:H,7,FALSE)),"",VLOOKUP(A23,通讯录!A:H,7,FALSE))</f>
        <v/>
      </c>
      <c r="C23" s="7"/>
      <c r="E23" s="6" t="str">
        <f t="shared" ref="E23:E86" si="0">CONCATENATE(F23,G23,H23,I23,J23,K23,L23)</f>
        <v/>
      </c>
    </row>
    <row r="24" spans="1:15">
      <c r="A24" s="9"/>
      <c r="B24" s="6" t="str">
        <f>IF(ISERROR(VLOOKUP(A24,通讯录!A:H,7,FALSE)),"",VLOOKUP(A24,通讯录!A:H,7,FALSE))</f>
        <v/>
      </c>
      <c r="C24" s="7"/>
      <c r="E24" s="6" t="str">
        <f t="shared" si="0"/>
        <v/>
      </c>
    </row>
    <row r="25" spans="1:15">
      <c r="A25" s="9"/>
      <c r="B25" s="6" t="str">
        <f>IF(ISERROR(VLOOKUP(A25,通讯录!A:H,7,FALSE)),"",VLOOKUP(A25,通讯录!A:H,7,FALSE))</f>
        <v/>
      </c>
      <c r="C25" s="61"/>
      <c r="E25" s="6" t="str">
        <f t="shared" si="0"/>
        <v/>
      </c>
    </row>
    <row r="26" spans="1:15">
      <c r="A26" s="9"/>
      <c r="B26" s="6" t="str">
        <f>IF(ISERROR(VLOOKUP(A26,通讯录!A:H,7,FALSE)),"",VLOOKUP(A26,通讯录!A:H,7,FALSE))</f>
        <v/>
      </c>
      <c r="C26" s="7"/>
      <c r="E26" s="6" t="str">
        <f t="shared" si="0"/>
        <v/>
      </c>
    </row>
    <row r="27" spans="1:15">
      <c r="A27" s="9"/>
      <c r="B27" s="6" t="str">
        <f>IF(ISERROR(VLOOKUP(A27,通讯录!A:H,7,FALSE)),"",VLOOKUP(A27,通讯录!A:H,7,FALSE))</f>
        <v/>
      </c>
      <c r="C27" s="7"/>
      <c r="E27" s="6" t="str">
        <f t="shared" si="0"/>
        <v/>
      </c>
    </row>
    <row r="28" spans="1:15">
      <c r="A28" s="9"/>
      <c r="B28" s="6" t="str">
        <f>IF(ISERROR(VLOOKUP(A28,通讯录!A:H,7,FALSE)),"",VLOOKUP(A28,通讯录!A:H,7,FALSE))</f>
        <v/>
      </c>
      <c r="C28" s="7"/>
      <c r="E28" s="6" t="str">
        <f t="shared" si="0"/>
        <v/>
      </c>
    </row>
    <row r="29" spans="1:15">
      <c r="A29" s="9"/>
      <c r="B29" s="6" t="str">
        <f>IF(ISERROR(VLOOKUP(A29,通讯录!A:H,7,FALSE)),"",VLOOKUP(A29,通讯录!A:H,7,FALSE))</f>
        <v/>
      </c>
      <c r="C29" s="7"/>
      <c r="E29" s="6" t="str">
        <f t="shared" si="0"/>
        <v/>
      </c>
    </row>
    <row r="30" spans="1:15">
      <c r="A30" s="9"/>
      <c r="B30" s="6" t="str">
        <f>IF(ISERROR(VLOOKUP(A30,通讯录!A:H,7,FALSE)),"",VLOOKUP(A30,通讯录!A:H,7,FALSE))</f>
        <v/>
      </c>
      <c r="C30" s="7"/>
      <c r="E30" s="6" t="str">
        <f t="shared" si="0"/>
        <v/>
      </c>
    </row>
    <row r="31" spans="1:15">
      <c r="A31" s="9"/>
      <c r="B31" s="6" t="str">
        <f>IF(ISERROR(VLOOKUP(A31,通讯录!A:H,7,FALSE)),"",VLOOKUP(A31,通讯录!A:H,7,FALSE))</f>
        <v/>
      </c>
      <c r="C31" s="7"/>
      <c r="E31" s="6" t="str">
        <f t="shared" si="0"/>
        <v/>
      </c>
    </row>
    <row r="32" spans="1:15">
      <c r="A32" s="9"/>
      <c r="B32" s="6" t="str">
        <f>IF(ISERROR(VLOOKUP(A32,通讯录!A:H,7,FALSE)),"",VLOOKUP(A32,通讯录!A:H,7,FALSE))</f>
        <v/>
      </c>
      <c r="C32" s="7"/>
      <c r="E32" s="6" t="str">
        <f t="shared" si="0"/>
        <v/>
      </c>
    </row>
    <row r="33" spans="1:5">
      <c r="A33" s="9"/>
      <c r="B33" s="6" t="str">
        <f>IF(ISERROR(VLOOKUP(A33,通讯录!A:H,7,FALSE)),"",VLOOKUP(A33,通讯录!A:H,7,FALSE))</f>
        <v/>
      </c>
      <c r="C33" s="7"/>
      <c r="E33" s="6" t="str">
        <f t="shared" si="0"/>
        <v/>
      </c>
    </row>
    <row r="34" spans="1:5">
      <c r="A34" s="9"/>
      <c r="B34" s="6" t="str">
        <f>IF(ISERROR(VLOOKUP(A34,通讯录!A:H,7,FALSE)),"",VLOOKUP(A34,通讯录!A:H,7,FALSE))</f>
        <v/>
      </c>
      <c r="C34" s="7"/>
      <c r="E34" s="6" t="str">
        <f t="shared" si="0"/>
        <v/>
      </c>
    </row>
    <row r="35" spans="1:5">
      <c r="A35" s="9"/>
      <c r="B35" s="6" t="str">
        <f>IF(ISERROR(VLOOKUP(A35,通讯录!A:H,7,FALSE)),"",VLOOKUP(A35,通讯录!A:H,7,FALSE))</f>
        <v/>
      </c>
      <c r="C35" s="7"/>
      <c r="E35" s="6" t="str">
        <f t="shared" si="0"/>
        <v/>
      </c>
    </row>
    <row r="36" spans="1:5">
      <c r="A36" s="9"/>
      <c r="B36" s="6" t="str">
        <f>IF(ISERROR(VLOOKUP(A36,通讯录!A:H,7,FALSE)),"",VLOOKUP(A36,通讯录!A:H,7,FALSE))</f>
        <v/>
      </c>
      <c r="C36" s="7"/>
      <c r="E36" s="6" t="str">
        <f t="shared" si="0"/>
        <v/>
      </c>
    </row>
    <row r="37" spans="1:5">
      <c r="A37" s="9"/>
      <c r="B37" s="6" t="str">
        <f>IF(ISERROR(VLOOKUP(A37,通讯录!A:H,7,FALSE)),"",VLOOKUP(A37,通讯录!A:H,7,FALSE))</f>
        <v/>
      </c>
      <c r="C37" s="7"/>
      <c r="E37" s="6" t="str">
        <f t="shared" si="0"/>
        <v/>
      </c>
    </row>
    <row r="38" spans="1:5">
      <c r="A38" s="9"/>
      <c r="B38" s="6" t="str">
        <f>IF(ISERROR(VLOOKUP(A38,通讯录!A:H,7,FALSE)),"",VLOOKUP(A38,通讯录!A:H,7,FALSE))</f>
        <v/>
      </c>
      <c r="C38" s="7"/>
      <c r="E38" s="6" t="str">
        <f t="shared" si="0"/>
        <v/>
      </c>
    </row>
    <row r="39" spans="1:5">
      <c r="A39" s="9"/>
      <c r="B39" s="6" t="str">
        <f>IF(ISERROR(VLOOKUP(A39,通讯录!A:H,7,FALSE)),"",VLOOKUP(A39,通讯录!A:H,7,FALSE))</f>
        <v/>
      </c>
      <c r="C39" s="7"/>
      <c r="E39" s="6" t="str">
        <f t="shared" si="0"/>
        <v/>
      </c>
    </row>
    <row r="40" spans="1:5">
      <c r="A40" s="9"/>
      <c r="B40" s="6" t="str">
        <f>IF(ISERROR(VLOOKUP(A40,通讯录!A:H,7,FALSE)),"",VLOOKUP(A40,通讯录!A:H,7,FALSE))</f>
        <v/>
      </c>
      <c r="C40" s="7"/>
      <c r="E40" s="6" t="str">
        <f t="shared" si="0"/>
        <v/>
      </c>
    </row>
    <row r="41" spans="1:5">
      <c r="A41" s="9"/>
      <c r="B41" s="6" t="str">
        <f>IF(ISERROR(VLOOKUP(A41,通讯录!A:H,7,FALSE)),"",VLOOKUP(A41,通讯录!A:H,7,FALSE))</f>
        <v/>
      </c>
      <c r="C41" s="7"/>
      <c r="E41" s="6" t="str">
        <f t="shared" si="0"/>
        <v/>
      </c>
    </row>
    <row r="42" spans="1:5">
      <c r="A42" s="9"/>
      <c r="B42" s="6" t="str">
        <f>IF(ISERROR(VLOOKUP(A42,通讯录!A:H,7,FALSE)),"",VLOOKUP(A42,通讯录!A:H,7,FALSE))</f>
        <v/>
      </c>
      <c r="C42" s="7"/>
      <c r="E42" s="6" t="str">
        <f t="shared" si="0"/>
        <v/>
      </c>
    </row>
    <row r="43" spans="1:5">
      <c r="A43" s="9"/>
      <c r="B43" s="6" t="str">
        <f>IF(ISERROR(VLOOKUP(A43,通讯录!A:H,7,FALSE)),"",VLOOKUP(A43,通讯录!A:H,7,FALSE))</f>
        <v/>
      </c>
      <c r="C43" s="7"/>
      <c r="E43" s="6" t="str">
        <f t="shared" si="0"/>
        <v/>
      </c>
    </row>
    <row r="44" spans="1:5">
      <c r="A44" s="9"/>
      <c r="B44" s="6" t="str">
        <f>IF(ISERROR(VLOOKUP(A44,通讯录!A:H,7,FALSE)),"",VLOOKUP(A44,通讯录!A:H,7,FALSE))</f>
        <v/>
      </c>
      <c r="C44" s="7"/>
      <c r="E44" s="6" t="str">
        <f t="shared" si="0"/>
        <v/>
      </c>
    </row>
    <row r="45" spans="1:5">
      <c r="A45" s="9"/>
      <c r="B45" s="6" t="str">
        <f>IF(ISERROR(VLOOKUP(A45,通讯录!A:H,7,FALSE)),"",VLOOKUP(A45,通讯录!A:H,7,FALSE))</f>
        <v/>
      </c>
      <c r="C45" s="7"/>
      <c r="E45" s="6" t="str">
        <f t="shared" si="0"/>
        <v/>
      </c>
    </row>
    <row r="46" spans="1:5">
      <c r="A46" s="9"/>
      <c r="B46" s="6" t="str">
        <f>IF(ISERROR(VLOOKUP(A46,通讯录!A:H,7,FALSE)),"",VLOOKUP(A46,通讯录!A:H,7,FALSE))</f>
        <v/>
      </c>
      <c r="C46" s="7"/>
      <c r="E46" s="6" t="str">
        <f t="shared" si="0"/>
        <v/>
      </c>
    </row>
    <row r="47" spans="1:5">
      <c r="A47" s="9"/>
      <c r="B47" s="6" t="str">
        <f>IF(ISERROR(VLOOKUP(A47,通讯录!A:H,7,FALSE)),"",VLOOKUP(A47,通讯录!A:H,7,FALSE))</f>
        <v/>
      </c>
      <c r="C47" s="7"/>
      <c r="E47" s="6" t="str">
        <f t="shared" si="0"/>
        <v/>
      </c>
    </row>
    <row r="48" spans="1:5">
      <c r="A48" s="9"/>
      <c r="B48" s="6" t="str">
        <f>IF(ISERROR(VLOOKUP(A48,通讯录!A:H,7,FALSE)),"",VLOOKUP(A48,通讯录!A:H,7,FALSE))</f>
        <v/>
      </c>
      <c r="C48" s="7"/>
      <c r="E48" s="6" t="str">
        <f t="shared" si="0"/>
        <v/>
      </c>
    </row>
    <row r="49" spans="1:5">
      <c r="A49" s="9"/>
      <c r="B49" s="6" t="str">
        <f>IF(ISERROR(VLOOKUP(A49,通讯录!A:H,7,FALSE)),"",VLOOKUP(A49,通讯录!A:H,7,FALSE))</f>
        <v/>
      </c>
      <c r="C49" s="7"/>
      <c r="E49" s="6" t="str">
        <f t="shared" si="0"/>
        <v/>
      </c>
    </row>
    <row r="50" spans="1:5">
      <c r="A50" s="9"/>
      <c r="B50" s="6" t="str">
        <f>IF(ISERROR(VLOOKUP(A50,通讯录!A:H,7,FALSE)),"",VLOOKUP(A50,通讯录!A:H,7,FALSE))</f>
        <v/>
      </c>
      <c r="C50" s="7"/>
      <c r="E50" s="6" t="str">
        <f t="shared" si="0"/>
        <v/>
      </c>
    </row>
    <row r="51" spans="1:5">
      <c r="A51" s="9"/>
      <c r="B51" s="6" t="str">
        <f>IF(ISERROR(VLOOKUP(A51,通讯录!A:H,7,FALSE)),"",VLOOKUP(A51,通讯录!A:H,7,FALSE))</f>
        <v/>
      </c>
      <c r="C51" s="7"/>
      <c r="E51" s="6" t="str">
        <f t="shared" si="0"/>
        <v/>
      </c>
    </row>
    <row r="52" spans="1:5">
      <c r="A52" s="9"/>
      <c r="B52" s="6" t="str">
        <f>IF(ISERROR(VLOOKUP(A52,通讯录!A:H,7,FALSE)),"",VLOOKUP(A52,通讯录!A:H,7,FALSE))</f>
        <v/>
      </c>
      <c r="C52" s="7"/>
      <c r="E52" s="6" t="str">
        <f t="shared" si="0"/>
        <v/>
      </c>
    </row>
    <row r="53" spans="1:5">
      <c r="A53" s="9"/>
      <c r="B53" s="6" t="str">
        <f>IF(ISERROR(VLOOKUP(A53,通讯录!A:H,7,FALSE)),"",VLOOKUP(A53,通讯录!A:H,7,FALSE))</f>
        <v/>
      </c>
      <c r="C53" s="7"/>
      <c r="E53" s="6" t="str">
        <f t="shared" si="0"/>
        <v/>
      </c>
    </row>
    <row r="54" spans="1:5">
      <c r="A54" s="9"/>
      <c r="B54" s="6" t="str">
        <f>IF(ISERROR(VLOOKUP(A54,通讯录!A:H,7,FALSE)),"",VLOOKUP(A54,通讯录!A:H,7,FALSE))</f>
        <v/>
      </c>
      <c r="C54" s="7"/>
      <c r="E54" s="6" t="str">
        <f t="shared" si="0"/>
        <v/>
      </c>
    </row>
    <row r="55" spans="1:5">
      <c r="A55" s="9"/>
      <c r="B55" s="6" t="str">
        <f>IF(ISERROR(VLOOKUP(A55,通讯录!A:H,7,FALSE)),"",VLOOKUP(A55,通讯录!A:H,7,FALSE))</f>
        <v/>
      </c>
      <c r="C55" s="7"/>
      <c r="E55" s="6" t="str">
        <f t="shared" si="0"/>
        <v/>
      </c>
    </row>
    <row r="56" spans="1:5">
      <c r="A56" s="9"/>
      <c r="B56" s="6" t="str">
        <f>IF(ISERROR(VLOOKUP(A56,通讯录!A:H,7,FALSE)),"",VLOOKUP(A56,通讯录!A:H,7,FALSE))</f>
        <v/>
      </c>
      <c r="C56" s="7"/>
      <c r="E56" s="6" t="str">
        <f t="shared" si="0"/>
        <v/>
      </c>
    </row>
    <row r="57" spans="1:5">
      <c r="A57" s="9"/>
      <c r="B57" s="6" t="str">
        <f>IF(ISERROR(VLOOKUP(A57,通讯录!A:H,7,FALSE)),"",VLOOKUP(A57,通讯录!A:H,7,FALSE))</f>
        <v/>
      </c>
      <c r="C57" s="7"/>
      <c r="E57" s="6" t="str">
        <f t="shared" si="0"/>
        <v/>
      </c>
    </row>
    <row r="58" spans="1:5">
      <c r="A58" s="9"/>
      <c r="B58" s="6" t="str">
        <f>IF(ISERROR(VLOOKUP(A58,通讯录!A:H,7,FALSE)),"",VLOOKUP(A58,通讯录!A:H,7,FALSE))</f>
        <v/>
      </c>
      <c r="C58" s="7"/>
      <c r="E58" s="6" t="str">
        <f t="shared" si="0"/>
        <v/>
      </c>
    </row>
    <row r="59" spans="1:5">
      <c r="A59" s="9"/>
      <c r="B59" s="6" t="str">
        <f>IF(ISERROR(VLOOKUP(A59,通讯录!A:H,7,FALSE)),"",VLOOKUP(A59,通讯录!A:H,7,FALSE))</f>
        <v/>
      </c>
      <c r="C59" s="7"/>
      <c r="E59" s="6" t="str">
        <f t="shared" si="0"/>
        <v/>
      </c>
    </row>
    <row r="60" spans="1:5">
      <c r="A60" s="9"/>
      <c r="B60" s="6" t="str">
        <f>IF(ISERROR(VLOOKUP(A60,通讯录!A:H,7,FALSE)),"",VLOOKUP(A60,通讯录!A:H,7,FALSE))</f>
        <v/>
      </c>
      <c r="C60" s="7"/>
      <c r="E60" s="6" t="str">
        <f t="shared" si="0"/>
        <v/>
      </c>
    </row>
    <row r="61" spans="1:5">
      <c r="A61" s="9"/>
      <c r="B61" s="6" t="str">
        <f>IF(ISERROR(VLOOKUP(A61,通讯录!A:H,7,FALSE)),"",VLOOKUP(A61,通讯录!A:H,7,FALSE))</f>
        <v/>
      </c>
      <c r="C61" s="7"/>
      <c r="E61" s="6" t="str">
        <f t="shared" si="0"/>
        <v/>
      </c>
    </row>
    <row r="62" spans="1:5">
      <c r="A62" s="9"/>
      <c r="B62" s="6" t="str">
        <f>IF(ISERROR(VLOOKUP(A62,通讯录!A:H,7,FALSE)),"",VLOOKUP(A62,通讯录!A:H,7,FALSE))</f>
        <v/>
      </c>
      <c r="C62" s="7"/>
      <c r="E62" s="6" t="str">
        <f t="shared" si="0"/>
        <v/>
      </c>
    </row>
    <row r="63" spans="1:5">
      <c r="A63" s="9"/>
      <c r="B63" s="6" t="str">
        <f>IF(ISERROR(VLOOKUP(A63,通讯录!A:H,7,FALSE)),"",VLOOKUP(A63,通讯录!A:H,7,FALSE))</f>
        <v/>
      </c>
      <c r="C63" s="7"/>
      <c r="E63" s="6" t="str">
        <f t="shared" si="0"/>
        <v/>
      </c>
    </row>
    <row r="64" spans="1:5">
      <c r="A64" s="9"/>
      <c r="B64" s="6" t="str">
        <f>IF(ISERROR(VLOOKUP(A64,通讯录!A:H,7,FALSE)),"",VLOOKUP(A64,通讯录!A:H,7,FALSE))</f>
        <v/>
      </c>
      <c r="C64" s="7"/>
      <c r="E64" s="6" t="str">
        <f t="shared" si="0"/>
        <v/>
      </c>
    </row>
    <row r="65" spans="1:5">
      <c r="A65" s="9"/>
      <c r="B65" s="6" t="str">
        <f>IF(ISERROR(VLOOKUP(A65,通讯录!A:H,7,FALSE)),"",VLOOKUP(A65,通讯录!A:H,7,FALSE))</f>
        <v/>
      </c>
      <c r="C65" s="7"/>
      <c r="E65" s="6" t="str">
        <f t="shared" si="0"/>
        <v/>
      </c>
    </row>
    <row r="66" spans="1:5">
      <c r="A66" s="9"/>
      <c r="B66" s="6" t="str">
        <f>IF(ISERROR(VLOOKUP(A66,通讯录!A:H,7,FALSE)),"",VLOOKUP(A66,通讯录!A:H,7,FALSE))</f>
        <v/>
      </c>
      <c r="C66" s="7"/>
      <c r="E66" s="6" t="str">
        <f t="shared" si="0"/>
        <v/>
      </c>
    </row>
    <row r="67" spans="1:5">
      <c r="A67" s="9"/>
      <c r="B67" s="6" t="str">
        <f>IF(ISERROR(VLOOKUP(A67,通讯录!A:H,7,FALSE)),"",VLOOKUP(A67,通讯录!A:H,7,FALSE))</f>
        <v/>
      </c>
      <c r="C67" s="7"/>
      <c r="E67" s="6" t="str">
        <f t="shared" si="0"/>
        <v/>
      </c>
    </row>
    <row r="68" spans="1:5">
      <c r="A68" s="9"/>
      <c r="B68" s="6" t="str">
        <f>IF(ISERROR(VLOOKUP(A68,通讯录!A:H,7,FALSE)),"",VLOOKUP(A68,通讯录!A:H,7,FALSE))</f>
        <v/>
      </c>
      <c r="C68" s="7"/>
      <c r="E68" s="6" t="str">
        <f t="shared" si="0"/>
        <v/>
      </c>
    </row>
    <row r="69" spans="1:5">
      <c r="A69" s="9"/>
      <c r="B69" s="6" t="str">
        <f>IF(ISERROR(VLOOKUP(A69,通讯录!A:H,7,FALSE)),"",VLOOKUP(A69,通讯录!A:H,7,FALSE))</f>
        <v/>
      </c>
      <c r="C69" s="7"/>
      <c r="E69" s="6" t="str">
        <f t="shared" si="0"/>
        <v/>
      </c>
    </row>
    <row r="70" spans="1:5">
      <c r="A70" s="9"/>
      <c r="B70" s="6" t="str">
        <f>IF(ISERROR(VLOOKUP(A70,通讯录!A:H,7,FALSE)),"",VLOOKUP(A70,通讯录!A:H,7,FALSE))</f>
        <v/>
      </c>
      <c r="C70" s="7"/>
      <c r="E70" s="6" t="str">
        <f t="shared" si="0"/>
        <v/>
      </c>
    </row>
    <row r="71" spans="1:5">
      <c r="A71" s="9"/>
      <c r="B71" s="6" t="str">
        <f>IF(ISERROR(VLOOKUP(A71,通讯录!A:H,7,FALSE)),"",VLOOKUP(A71,通讯录!A:H,7,FALSE))</f>
        <v/>
      </c>
      <c r="C71" s="7"/>
      <c r="E71" s="6" t="str">
        <f t="shared" si="0"/>
        <v/>
      </c>
    </row>
    <row r="72" spans="1:5">
      <c r="A72" s="9"/>
      <c r="B72" s="6" t="str">
        <f>IF(ISERROR(VLOOKUP(A72,通讯录!A:H,7,FALSE)),"",VLOOKUP(A72,通讯录!A:H,7,FALSE))</f>
        <v/>
      </c>
      <c r="C72" s="7"/>
      <c r="E72" s="6" t="str">
        <f t="shared" si="0"/>
        <v/>
      </c>
    </row>
    <row r="73" spans="1:5">
      <c r="A73" s="9"/>
      <c r="B73" s="6" t="str">
        <f>IF(ISERROR(VLOOKUP(A73,通讯录!A:H,7,FALSE)),"",VLOOKUP(A73,通讯录!A:H,7,FALSE))</f>
        <v/>
      </c>
      <c r="C73" s="7"/>
      <c r="E73" s="6" t="str">
        <f t="shared" si="0"/>
        <v/>
      </c>
    </row>
    <row r="74" spans="1:5">
      <c r="A74" s="9"/>
      <c r="B74" s="6" t="str">
        <f>IF(ISERROR(VLOOKUP(A74,通讯录!A:H,7,FALSE)),"",VLOOKUP(A74,通讯录!A:H,7,FALSE))</f>
        <v/>
      </c>
      <c r="C74" s="7"/>
      <c r="E74" s="6" t="str">
        <f t="shared" si="0"/>
        <v/>
      </c>
    </row>
    <row r="75" spans="1:5">
      <c r="A75" s="9"/>
      <c r="B75" s="6" t="str">
        <f>IF(ISERROR(VLOOKUP(A75,通讯录!A:H,7,FALSE)),"",VLOOKUP(A75,通讯录!A:H,7,FALSE))</f>
        <v/>
      </c>
      <c r="C75" s="7"/>
      <c r="E75" s="6" t="str">
        <f t="shared" si="0"/>
        <v/>
      </c>
    </row>
    <row r="76" spans="1:5">
      <c r="A76" s="9"/>
      <c r="B76" s="6" t="str">
        <f>IF(ISERROR(VLOOKUP(A76,通讯录!A:H,7,FALSE)),"",VLOOKUP(A76,通讯录!A:H,7,FALSE))</f>
        <v/>
      </c>
      <c r="C76" s="7"/>
      <c r="E76" s="6" t="str">
        <f t="shared" si="0"/>
        <v/>
      </c>
    </row>
    <row r="77" spans="1:5">
      <c r="A77" s="9"/>
      <c r="B77" s="6" t="str">
        <f>IF(ISERROR(VLOOKUP(A77,通讯录!A:H,7,FALSE)),"",VLOOKUP(A77,通讯录!A:H,7,FALSE))</f>
        <v/>
      </c>
      <c r="C77" s="7"/>
      <c r="E77" s="6" t="str">
        <f t="shared" si="0"/>
        <v/>
      </c>
    </row>
    <row r="78" spans="1:5">
      <c r="A78" s="9"/>
      <c r="B78" s="6" t="str">
        <f>IF(ISERROR(VLOOKUP(A78,通讯录!A:H,7,FALSE)),"",VLOOKUP(A78,通讯录!A:H,7,FALSE))</f>
        <v/>
      </c>
      <c r="C78" s="7"/>
      <c r="E78" s="6" t="str">
        <f t="shared" si="0"/>
        <v/>
      </c>
    </row>
    <row r="79" spans="1:5">
      <c r="A79" s="9"/>
      <c r="B79" s="6" t="str">
        <f>IF(ISERROR(VLOOKUP(A79,通讯录!A:H,7,FALSE)),"",VLOOKUP(A79,通讯录!A:H,7,FALSE))</f>
        <v/>
      </c>
      <c r="C79" s="7"/>
      <c r="E79" s="6" t="str">
        <f t="shared" si="0"/>
        <v/>
      </c>
    </row>
    <row r="80" spans="1:5">
      <c r="A80" s="9"/>
      <c r="B80" s="6" t="str">
        <f>IF(ISERROR(VLOOKUP(A80,通讯录!A:H,7,FALSE)),"",VLOOKUP(A80,通讯录!A:H,7,FALSE))</f>
        <v/>
      </c>
      <c r="C80" s="7"/>
      <c r="E80" s="6" t="str">
        <f t="shared" si="0"/>
        <v/>
      </c>
    </row>
    <row r="81" spans="1:5">
      <c r="A81" s="9"/>
      <c r="B81" s="6" t="str">
        <f>IF(ISERROR(VLOOKUP(A81,通讯录!A:H,7,FALSE)),"",VLOOKUP(A81,通讯录!A:H,7,FALSE))</f>
        <v/>
      </c>
      <c r="C81" s="7"/>
      <c r="E81" s="6" t="str">
        <f t="shared" si="0"/>
        <v/>
      </c>
    </row>
    <row r="82" spans="1:5">
      <c r="A82" s="9"/>
      <c r="B82" s="6" t="str">
        <f>IF(ISERROR(VLOOKUP(A82,通讯录!A:H,7,FALSE)),"",VLOOKUP(A82,通讯录!A:H,7,FALSE))</f>
        <v/>
      </c>
      <c r="C82" s="7"/>
      <c r="E82" s="6" t="str">
        <f t="shared" si="0"/>
        <v/>
      </c>
    </row>
    <row r="83" spans="1:5">
      <c r="A83" s="9"/>
      <c r="B83" s="6" t="str">
        <f>IF(ISERROR(VLOOKUP(A83,通讯录!A:H,7,FALSE)),"",VLOOKUP(A83,通讯录!A:H,7,FALSE))</f>
        <v/>
      </c>
      <c r="C83" s="7"/>
      <c r="E83" s="6" t="str">
        <f t="shared" si="0"/>
        <v/>
      </c>
    </row>
    <row r="84" spans="1:5">
      <c r="A84" s="9"/>
      <c r="B84" s="6" t="str">
        <f>IF(ISERROR(VLOOKUP(A84,通讯录!A:H,7,FALSE)),"",VLOOKUP(A84,通讯录!A:H,7,FALSE))</f>
        <v/>
      </c>
      <c r="C84" s="7"/>
      <c r="E84" s="6" t="str">
        <f t="shared" si="0"/>
        <v/>
      </c>
    </row>
    <row r="85" spans="1:5">
      <c r="A85" s="9"/>
      <c r="B85" s="6" t="str">
        <f>IF(ISERROR(VLOOKUP(A85,通讯录!A:H,7,FALSE)),"",VLOOKUP(A85,通讯录!A:H,7,FALSE))</f>
        <v/>
      </c>
      <c r="C85" s="7"/>
      <c r="E85" s="6" t="str">
        <f t="shared" si="0"/>
        <v/>
      </c>
    </row>
    <row r="86" spans="1:5">
      <c r="A86" s="9"/>
      <c r="B86" s="6" t="str">
        <f>IF(ISERROR(VLOOKUP(A86,通讯录!A:H,7,FALSE)),"",VLOOKUP(A86,通讯录!A:H,7,FALSE))</f>
        <v/>
      </c>
      <c r="C86" s="7"/>
      <c r="E86" s="6" t="str">
        <f t="shared" si="0"/>
        <v/>
      </c>
    </row>
    <row r="87" spans="1:5">
      <c r="A87" s="9"/>
      <c r="B87" s="6" t="str">
        <f>IF(ISERROR(VLOOKUP(A87,通讯录!A:H,7,FALSE)),"",VLOOKUP(A87,通讯录!A:H,7,FALSE))</f>
        <v/>
      </c>
      <c r="C87" s="7"/>
      <c r="E87" s="6" t="str">
        <f t="shared" ref="E87:E100" si="1">CONCATENATE(F87,G87,H87,I87,J87,K87,L87)</f>
        <v/>
      </c>
    </row>
    <row r="88" spans="1:5">
      <c r="A88" s="9"/>
      <c r="B88" s="6" t="str">
        <f>IF(ISERROR(VLOOKUP(A88,通讯录!A:H,7,FALSE)),"",VLOOKUP(A88,通讯录!A:H,7,FALSE))</f>
        <v/>
      </c>
      <c r="C88" s="7"/>
      <c r="E88" s="6" t="str">
        <f t="shared" si="1"/>
        <v/>
      </c>
    </row>
    <row r="89" spans="1:5">
      <c r="A89" s="9"/>
      <c r="B89" s="6" t="str">
        <f>IF(ISERROR(VLOOKUP(A89,通讯录!A:H,7,FALSE)),"",VLOOKUP(A89,通讯录!A:H,7,FALSE))</f>
        <v/>
      </c>
      <c r="C89" s="7"/>
      <c r="E89" s="6" t="str">
        <f t="shared" si="1"/>
        <v/>
      </c>
    </row>
    <row r="90" spans="1:5">
      <c r="A90" s="9"/>
      <c r="B90" s="6" t="str">
        <f>IF(ISERROR(VLOOKUP(A90,通讯录!A:H,7,FALSE)),"",VLOOKUP(A90,通讯录!A:H,7,FALSE))</f>
        <v/>
      </c>
      <c r="C90" s="7"/>
      <c r="E90" s="6" t="str">
        <f t="shared" si="1"/>
        <v/>
      </c>
    </row>
    <row r="91" spans="1:5">
      <c r="A91" s="9"/>
      <c r="B91" s="6" t="str">
        <f>IF(ISERROR(VLOOKUP(A91,通讯录!A:H,7,FALSE)),"",VLOOKUP(A91,通讯录!A:H,7,FALSE))</f>
        <v/>
      </c>
      <c r="C91" s="7"/>
      <c r="E91" s="6" t="str">
        <f t="shared" si="1"/>
        <v/>
      </c>
    </row>
    <row r="92" spans="1:5">
      <c r="A92" s="9"/>
      <c r="B92" s="6" t="str">
        <f>IF(ISERROR(VLOOKUP(A92,通讯录!A:H,7,FALSE)),"",VLOOKUP(A92,通讯录!A:H,7,FALSE))</f>
        <v/>
      </c>
      <c r="C92" s="7"/>
      <c r="E92" s="6" t="str">
        <f t="shared" si="1"/>
        <v/>
      </c>
    </row>
    <row r="93" spans="1:5">
      <c r="A93" s="9"/>
      <c r="B93" s="6" t="str">
        <f>IF(ISERROR(VLOOKUP(A93,通讯录!A:H,7,FALSE)),"",VLOOKUP(A93,通讯录!A:H,7,FALSE))</f>
        <v/>
      </c>
      <c r="E93" s="6" t="str">
        <f t="shared" si="1"/>
        <v/>
      </c>
    </row>
    <row r="94" spans="1:5">
      <c r="A94" s="9"/>
      <c r="B94" s="6" t="str">
        <f>IF(ISERROR(VLOOKUP(A94,通讯录!A:H,7,FALSE)),"",VLOOKUP(A94,通讯录!A:H,7,FALSE))</f>
        <v/>
      </c>
      <c r="E94" s="6" t="str">
        <f t="shared" si="1"/>
        <v/>
      </c>
    </row>
    <row r="95" spans="1:5">
      <c r="A95" s="9"/>
      <c r="B95" s="6" t="str">
        <f>IF(ISERROR(VLOOKUP(A95,通讯录!A:H,7,FALSE)),"",VLOOKUP(A95,通讯录!A:H,7,FALSE))</f>
        <v/>
      </c>
      <c r="E95" s="6" t="str">
        <f t="shared" si="1"/>
        <v/>
      </c>
    </row>
    <row r="96" spans="1:5">
      <c r="A96" s="9"/>
      <c r="B96" s="6" t="str">
        <f>IF(ISERROR(VLOOKUP(A96,通讯录!A:H,7,FALSE)),"",VLOOKUP(A96,通讯录!A:H,7,FALSE))</f>
        <v/>
      </c>
      <c r="E96" s="6" t="str">
        <f t="shared" si="1"/>
        <v/>
      </c>
    </row>
    <row r="97" spans="1:5">
      <c r="A97" s="9"/>
      <c r="B97" s="6" t="str">
        <f>IF(ISERROR(VLOOKUP(A97,通讯录!A:H,7,FALSE)),"",VLOOKUP(A97,通讯录!A:H,7,FALSE))</f>
        <v/>
      </c>
      <c r="E97" s="6" t="str">
        <f t="shared" si="1"/>
        <v/>
      </c>
    </row>
    <row r="98" spans="1:5">
      <c r="A98" s="9"/>
      <c r="B98" s="6" t="str">
        <f>IF(ISERROR(VLOOKUP(A98,通讯录!A:H,7,FALSE)),"",VLOOKUP(A98,通讯录!A:H,7,FALSE))</f>
        <v/>
      </c>
      <c r="E98" s="6" t="str">
        <f t="shared" si="1"/>
        <v/>
      </c>
    </row>
    <row r="99" spans="1:5">
      <c r="A99" s="9"/>
      <c r="B99" s="6" t="str">
        <f>IF(ISERROR(VLOOKUP(A99,通讯录!A:H,7,FALSE)),"",VLOOKUP(A99,通讯录!A:H,7,FALSE))</f>
        <v/>
      </c>
      <c r="E99" s="6" t="str">
        <f t="shared" si="1"/>
        <v/>
      </c>
    </row>
    <row r="100" spans="1:5">
      <c r="A100" s="9"/>
      <c r="B100" s="6" t="str">
        <f>IF(ISERROR(VLOOKUP(A100,通讯录!A:H,7,FALSE)),"",VLOOKUP(A100,通讯录!A:H,7,FALSE))</f>
        <v/>
      </c>
      <c r="E100" s="6" t="str">
        <f t="shared" si="1"/>
        <v/>
      </c>
    </row>
  </sheetData>
  <mergeCells count="1">
    <mergeCell ref="B1:D1"/>
  </mergeCells>
  <phoneticPr fontId="2" type="noConversion"/>
  <dataValidations disablePrompts="1" count="1">
    <dataValidation type="list" allowBlank="1" showInputMessage="1" showErrorMessage="1" sqref="J1">
      <formula1>"QQ粘贴并回车.vbs,发QQ消息可用.vbs"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Sendtofirst">
                <anchor>
                  <from>
                    <xdr:col>4</xdr:col>
                    <xdr:colOff>1234440</xdr:colOff>
                    <xdr:row>0</xdr:row>
                    <xdr:rowOff>0</xdr:rowOff>
                  </from>
                  <to>
                    <xdr:col>4</xdr:col>
                    <xdr:colOff>1905000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批量发送_Click">
                <anchor>
                  <from>
                    <xdr:col>4</xdr:col>
                    <xdr:colOff>2331720</xdr:colOff>
                    <xdr:row>0</xdr:row>
                    <xdr:rowOff>0</xdr:rowOff>
                  </from>
                  <to>
                    <xdr:col>5</xdr:col>
                    <xdr:colOff>198120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批量替换并生成文件">
                <anchor>
                  <from>
                    <xdr:col>5</xdr:col>
                    <xdr:colOff>464820</xdr:colOff>
                    <xdr:row>0</xdr:row>
                    <xdr:rowOff>0</xdr:rowOff>
                  </from>
                  <to>
                    <xdr:col>6</xdr:col>
                    <xdr:colOff>723900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99"/>
  <sheetViews>
    <sheetView zoomScaleNormal="100" workbookViewId="0">
      <selection activeCell="E31" sqref="E31"/>
    </sheetView>
  </sheetViews>
  <sheetFormatPr defaultColWidth="9" defaultRowHeight="14.4"/>
  <cols>
    <col min="1" max="1" width="9.33203125" style="6" customWidth="1"/>
    <col min="2" max="2" width="12.6640625" style="6" customWidth="1"/>
    <col min="3" max="3" width="13" style="6" customWidth="1"/>
    <col min="4" max="4" width="14.5546875" style="6" customWidth="1"/>
    <col min="5" max="5" width="46.6640625" style="6" customWidth="1"/>
    <col min="6" max="6" width="8.21875" style="6" customWidth="1"/>
    <col min="7" max="7" width="64.44140625" style="6" customWidth="1"/>
    <col min="8" max="8" width="13.109375" style="6" bestFit="1" customWidth="1"/>
    <col min="9" max="16384" width="9" style="6"/>
  </cols>
  <sheetData>
    <row r="1" spans="1:6" ht="70.8" customHeight="1">
      <c r="A1" s="6" t="s">
        <v>6</v>
      </c>
      <c r="B1" s="71" t="s">
        <v>140</v>
      </c>
      <c r="C1" s="71"/>
      <c r="D1" s="71"/>
      <c r="E1" s="6" t="s">
        <v>14</v>
      </c>
      <c r="F1" s="7"/>
    </row>
    <row r="2" spans="1:6">
      <c r="A2" s="6" t="s">
        <v>7</v>
      </c>
      <c r="B2" s="6" t="s">
        <v>8</v>
      </c>
    </row>
    <row r="4" spans="1:6" hidden="1"/>
    <row r="5" spans="1:6" hidden="1"/>
    <row r="6" spans="1:6" hidden="1"/>
    <row r="7" spans="1:6" hidden="1"/>
    <row r="8" spans="1:6" hidden="1"/>
    <row r="9" spans="1:6" hidden="1"/>
    <row r="10" spans="1:6" hidden="1"/>
    <row r="11" spans="1:6" hidden="1"/>
    <row r="12" spans="1:6" hidden="1"/>
    <row r="13" spans="1:6" hidden="1"/>
    <row r="14" spans="1:6" hidden="1"/>
    <row r="15" spans="1:6" hidden="1"/>
    <row r="16" spans="1:6" hidden="1"/>
    <row r="17" spans="1:15" hidden="1"/>
    <row r="18" spans="1:15" hidden="1"/>
    <row r="19" spans="1:15" s="3" customFormat="1" ht="16.8" customHeight="1">
      <c r="A19" s="2" t="s">
        <v>105</v>
      </c>
      <c r="B19" s="2" t="s">
        <v>106</v>
      </c>
      <c r="C19" s="2" t="s">
        <v>107</v>
      </c>
      <c r="D19" s="2" t="s">
        <v>108</v>
      </c>
      <c r="E19" s="2" t="s">
        <v>109</v>
      </c>
      <c r="F19" s="2" t="s">
        <v>110</v>
      </c>
      <c r="G19" s="2" t="s">
        <v>111</v>
      </c>
      <c r="H19" s="2" t="s">
        <v>112</v>
      </c>
      <c r="I19" s="2" t="s">
        <v>113</v>
      </c>
      <c r="J19" s="2" t="s">
        <v>114</v>
      </c>
      <c r="K19" s="2" t="s">
        <v>115</v>
      </c>
      <c r="L19" s="2" t="s">
        <v>116</v>
      </c>
      <c r="M19" s="2" t="s">
        <v>117</v>
      </c>
      <c r="N19" s="2" t="s">
        <v>118</v>
      </c>
      <c r="O19" s="2" t="s">
        <v>119</v>
      </c>
    </row>
    <row r="20" spans="1:15" s="3" customFormat="1" ht="16.8" customHeight="1">
      <c r="A20" s="2" t="s">
        <v>64</v>
      </c>
      <c r="B20" s="3" t="s">
        <v>65</v>
      </c>
      <c r="C20" s="3" t="s">
        <v>134</v>
      </c>
      <c r="E20" s="2" t="s">
        <v>61</v>
      </c>
      <c r="F20" s="2"/>
      <c r="G20" s="2"/>
    </row>
    <row r="21" spans="1:15" ht="34.200000000000003" customHeight="1">
      <c r="A21" s="9" t="s">
        <v>63</v>
      </c>
      <c r="B21" s="6">
        <f>IF(ISERROR(VLOOKUP(A21,通讯录!A:H,3,FALSE)),"",VLOOKUP(A21,通讯录!A:H,3,FALSE))</f>
        <v>11111111111</v>
      </c>
      <c r="C21" s="62" t="s">
        <v>120</v>
      </c>
      <c r="D21" s="60"/>
      <c r="E21" s="6" t="str">
        <f>CONCATENATE(F21,G21,H21,I21,J21,K21,L21)</f>
        <v>王进利老师，测试222.</v>
      </c>
      <c r="F21" s="6" t="s">
        <v>46</v>
      </c>
      <c r="G21" s="7" t="s">
        <v>104</v>
      </c>
    </row>
    <row r="22" spans="1:15">
      <c r="A22" s="9"/>
      <c r="B22" s="6" t="str">
        <f>IF(ISERROR(VLOOKUP(A22,通讯录!A:H,3,FALSE)),"",VLOOKUP(A22,通讯录!A:H,3,FALSE))</f>
        <v/>
      </c>
      <c r="C22" s="7"/>
      <c r="E22" s="6" t="str">
        <f t="shared" ref="E22:E85" si="0">CONCATENATE(F22,G22,H22,I22,J22,K22,L22)</f>
        <v/>
      </c>
    </row>
    <row r="23" spans="1:15">
      <c r="A23" s="9"/>
      <c r="B23" s="6" t="str">
        <f>IF(ISERROR(VLOOKUP(A23,通讯录!A:H,3,FALSE)),"",VLOOKUP(A23,通讯录!A:H,3,FALSE))</f>
        <v/>
      </c>
      <c r="C23" s="7"/>
      <c r="E23" s="6" t="str">
        <f t="shared" si="0"/>
        <v/>
      </c>
    </row>
    <row r="24" spans="1:15">
      <c r="A24" s="9"/>
      <c r="B24" s="6" t="str">
        <f>IF(ISERROR(VLOOKUP(A24,通讯录!A:H,3,FALSE)),"",VLOOKUP(A24,通讯录!A:H,3,FALSE))</f>
        <v/>
      </c>
      <c r="C24" s="61"/>
      <c r="E24" s="6" t="str">
        <f t="shared" si="0"/>
        <v/>
      </c>
    </row>
    <row r="25" spans="1:15">
      <c r="A25" s="9"/>
      <c r="B25" s="6" t="str">
        <f>IF(ISERROR(VLOOKUP(A25,通讯录!A:H,3,FALSE)),"",VLOOKUP(A25,通讯录!A:H,3,FALSE))</f>
        <v/>
      </c>
      <c r="C25" s="7"/>
      <c r="E25" s="6" t="str">
        <f t="shared" si="0"/>
        <v/>
      </c>
    </row>
    <row r="26" spans="1:15">
      <c r="A26" s="9"/>
      <c r="B26" s="6" t="str">
        <f>IF(ISERROR(VLOOKUP(A26,通讯录!A:H,3,FALSE)),"",VLOOKUP(A26,通讯录!A:H,3,FALSE))</f>
        <v/>
      </c>
      <c r="C26" s="7"/>
      <c r="E26" s="6" t="str">
        <f t="shared" si="0"/>
        <v/>
      </c>
    </row>
    <row r="27" spans="1:15">
      <c r="A27" s="9"/>
      <c r="B27" s="6" t="str">
        <f>IF(ISERROR(VLOOKUP(A27,通讯录!A:H,3,FALSE)),"",VLOOKUP(A27,通讯录!A:H,3,FALSE))</f>
        <v/>
      </c>
      <c r="C27" s="7"/>
      <c r="E27" s="6" t="str">
        <f t="shared" si="0"/>
        <v/>
      </c>
    </row>
    <row r="28" spans="1:15">
      <c r="A28" s="9"/>
      <c r="B28" s="6" t="str">
        <f>IF(ISERROR(VLOOKUP(A28,通讯录!A:H,3,FALSE)),"",VLOOKUP(A28,通讯录!A:H,3,FALSE))</f>
        <v/>
      </c>
      <c r="C28" s="7"/>
      <c r="E28" s="6" t="str">
        <f t="shared" si="0"/>
        <v/>
      </c>
    </row>
    <row r="29" spans="1:15">
      <c r="A29" s="9"/>
      <c r="B29" s="6" t="str">
        <f>IF(ISERROR(VLOOKUP(A29,通讯录!A:H,3,FALSE)),"",VLOOKUP(A29,通讯录!A:H,3,FALSE))</f>
        <v/>
      </c>
      <c r="C29" s="7"/>
      <c r="E29" s="6" t="str">
        <f t="shared" si="0"/>
        <v/>
      </c>
    </row>
    <row r="30" spans="1:15">
      <c r="A30" s="9"/>
      <c r="B30" s="6" t="str">
        <f>IF(ISERROR(VLOOKUP(A30,通讯录!A:H,3,FALSE)),"",VLOOKUP(A30,通讯录!A:H,3,FALSE))</f>
        <v/>
      </c>
      <c r="C30" s="7"/>
      <c r="E30" s="6" t="str">
        <f t="shared" si="0"/>
        <v/>
      </c>
    </row>
    <row r="31" spans="1:15">
      <c r="A31" s="9"/>
      <c r="B31" s="6" t="str">
        <f>IF(ISERROR(VLOOKUP(A31,通讯录!A:H,3,FALSE)),"",VLOOKUP(A31,通讯录!A:H,3,FALSE))</f>
        <v/>
      </c>
      <c r="C31" s="7"/>
      <c r="E31" s="6" t="str">
        <f t="shared" si="0"/>
        <v/>
      </c>
    </row>
    <row r="32" spans="1:15">
      <c r="A32" s="9"/>
      <c r="B32" s="6" t="str">
        <f>IF(ISERROR(VLOOKUP(A32,通讯录!A:H,3,FALSE)),"",VLOOKUP(A32,通讯录!A:H,3,FALSE))</f>
        <v/>
      </c>
      <c r="C32" s="7"/>
      <c r="E32" s="6" t="str">
        <f t="shared" si="0"/>
        <v/>
      </c>
    </row>
    <row r="33" spans="1:5">
      <c r="A33" s="9"/>
      <c r="B33" s="6" t="str">
        <f>IF(ISERROR(VLOOKUP(A33,通讯录!A:H,3,FALSE)),"",VLOOKUP(A33,通讯录!A:H,3,FALSE))</f>
        <v/>
      </c>
      <c r="C33" s="7"/>
      <c r="E33" s="6" t="str">
        <f t="shared" si="0"/>
        <v/>
      </c>
    </row>
    <row r="34" spans="1:5">
      <c r="A34" s="9"/>
      <c r="B34" s="6" t="str">
        <f>IF(ISERROR(VLOOKUP(A34,通讯录!A:H,3,FALSE)),"",VLOOKUP(A34,通讯录!A:H,3,FALSE))</f>
        <v/>
      </c>
      <c r="C34" s="7"/>
      <c r="E34" s="6" t="str">
        <f t="shared" si="0"/>
        <v/>
      </c>
    </row>
    <row r="35" spans="1:5">
      <c r="A35" s="9"/>
      <c r="B35" s="6" t="str">
        <f>IF(ISERROR(VLOOKUP(A35,通讯录!A:H,3,FALSE)),"",VLOOKUP(A35,通讯录!A:H,3,FALSE))</f>
        <v/>
      </c>
      <c r="C35" s="7"/>
      <c r="E35" s="6" t="str">
        <f t="shared" si="0"/>
        <v/>
      </c>
    </row>
    <row r="36" spans="1:5">
      <c r="A36" s="9"/>
      <c r="B36" s="6" t="str">
        <f>IF(ISERROR(VLOOKUP(A36,通讯录!A:H,3,FALSE)),"",VLOOKUP(A36,通讯录!A:H,3,FALSE))</f>
        <v/>
      </c>
      <c r="C36" s="7"/>
      <c r="E36" s="6" t="str">
        <f t="shared" si="0"/>
        <v/>
      </c>
    </row>
    <row r="37" spans="1:5">
      <c r="A37" s="9"/>
      <c r="B37" s="6" t="str">
        <f>IF(ISERROR(VLOOKUP(A37,通讯录!A:H,3,FALSE)),"",VLOOKUP(A37,通讯录!A:H,3,FALSE))</f>
        <v/>
      </c>
      <c r="C37" s="7"/>
      <c r="E37" s="6" t="str">
        <f t="shared" si="0"/>
        <v/>
      </c>
    </row>
    <row r="38" spans="1:5">
      <c r="A38" s="9"/>
      <c r="B38" s="6" t="str">
        <f>IF(ISERROR(VLOOKUP(A38,通讯录!A:H,3,FALSE)),"",VLOOKUP(A38,通讯录!A:H,3,FALSE))</f>
        <v/>
      </c>
      <c r="C38" s="7"/>
      <c r="E38" s="6" t="str">
        <f t="shared" si="0"/>
        <v/>
      </c>
    </row>
    <row r="39" spans="1:5">
      <c r="A39" s="9"/>
      <c r="B39" s="6" t="str">
        <f>IF(ISERROR(VLOOKUP(A39,通讯录!A:H,3,FALSE)),"",VLOOKUP(A39,通讯录!A:H,3,FALSE))</f>
        <v/>
      </c>
      <c r="C39" s="7"/>
      <c r="E39" s="6" t="str">
        <f t="shared" si="0"/>
        <v/>
      </c>
    </row>
    <row r="40" spans="1:5">
      <c r="A40" s="9"/>
      <c r="B40" s="6" t="str">
        <f>IF(ISERROR(VLOOKUP(A40,通讯录!A:H,3,FALSE)),"",VLOOKUP(A40,通讯录!A:H,3,FALSE))</f>
        <v/>
      </c>
      <c r="C40" s="7"/>
      <c r="E40" s="6" t="str">
        <f t="shared" si="0"/>
        <v/>
      </c>
    </row>
    <row r="41" spans="1:5">
      <c r="A41" s="9"/>
      <c r="B41" s="6" t="str">
        <f>IF(ISERROR(VLOOKUP(A41,通讯录!A:H,3,FALSE)),"",VLOOKUP(A41,通讯录!A:H,3,FALSE))</f>
        <v/>
      </c>
      <c r="C41" s="7"/>
      <c r="E41" s="6" t="str">
        <f t="shared" si="0"/>
        <v/>
      </c>
    </row>
    <row r="42" spans="1:5">
      <c r="A42" s="9"/>
      <c r="B42" s="6" t="str">
        <f>IF(ISERROR(VLOOKUP(A42,通讯录!A:H,3,FALSE)),"",VLOOKUP(A42,通讯录!A:H,3,FALSE))</f>
        <v/>
      </c>
      <c r="C42" s="7"/>
      <c r="E42" s="6" t="str">
        <f t="shared" si="0"/>
        <v/>
      </c>
    </row>
    <row r="43" spans="1:5">
      <c r="A43" s="9"/>
      <c r="B43" s="6" t="str">
        <f>IF(ISERROR(VLOOKUP(A43,通讯录!A:H,3,FALSE)),"",VLOOKUP(A43,通讯录!A:H,3,FALSE))</f>
        <v/>
      </c>
      <c r="C43" s="7"/>
      <c r="E43" s="6" t="str">
        <f t="shared" si="0"/>
        <v/>
      </c>
    </row>
    <row r="44" spans="1:5">
      <c r="A44" s="9"/>
      <c r="B44" s="6" t="str">
        <f>IF(ISERROR(VLOOKUP(A44,通讯录!A:H,3,FALSE)),"",VLOOKUP(A44,通讯录!A:H,3,FALSE))</f>
        <v/>
      </c>
      <c r="C44" s="7"/>
      <c r="E44" s="6" t="str">
        <f t="shared" si="0"/>
        <v/>
      </c>
    </row>
    <row r="45" spans="1:5">
      <c r="A45" s="9"/>
      <c r="B45" s="6" t="str">
        <f>IF(ISERROR(VLOOKUP(A45,通讯录!A:H,3,FALSE)),"",VLOOKUP(A45,通讯录!A:H,3,FALSE))</f>
        <v/>
      </c>
      <c r="C45" s="7"/>
      <c r="E45" s="6" t="str">
        <f t="shared" si="0"/>
        <v/>
      </c>
    </row>
    <row r="46" spans="1:5">
      <c r="A46" s="9"/>
      <c r="B46" s="6" t="str">
        <f>IF(ISERROR(VLOOKUP(A46,通讯录!A:H,3,FALSE)),"",VLOOKUP(A46,通讯录!A:H,3,FALSE))</f>
        <v/>
      </c>
      <c r="C46" s="7"/>
      <c r="E46" s="6" t="str">
        <f t="shared" si="0"/>
        <v/>
      </c>
    </row>
    <row r="47" spans="1:5">
      <c r="A47" s="9"/>
      <c r="B47" s="6" t="str">
        <f>IF(ISERROR(VLOOKUP(A47,通讯录!A:H,3,FALSE)),"",VLOOKUP(A47,通讯录!A:H,3,FALSE))</f>
        <v/>
      </c>
      <c r="C47" s="7"/>
      <c r="E47" s="6" t="str">
        <f t="shared" si="0"/>
        <v/>
      </c>
    </row>
    <row r="48" spans="1:5">
      <c r="A48" s="9"/>
      <c r="B48" s="6" t="str">
        <f>IF(ISERROR(VLOOKUP(A48,通讯录!A:H,3,FALSE)),"",VLOOKUP(A48,通讯录!A:H,3,FALSE))</f>
        <v/>
      </c>
      <c r="C48" s="7"/>
      <c r="E48" s="6" t="str">
        <f t="shared" si="0"/>
        <v/>
      </c>
    </row>
    <row r="49" spans="1:5">
      <c r="A49" s="9"/>
      <c r="B49" s="6" t="str">
        <f>IF(ISERROR(VLOOKUP(A49,通讯录!A:H,3,FALSE)),"",VLOOKUP(A49,通讯录!A:H,3,FALSE))</f>
        <v/>
      </c>
      <c r="C49" s="7"/>
      <c r="E49" s="6" t="str">
        <f t="shared" si="0"/>
        <v/>
      </c>
    </row>
    <row r="50" spans="1:5">
      <c r="A50" s="9"/>
      <c r="B50" s="6" t="str">
        <f>IF(ISERROR(VLOOKUP(A50,通讯录!A:H,3,FALSE)),"",VLOOKUP(A50,通讯录!A:H,3,FALSE))</f>
        <v/>
      </c>
      <c r="C50" s="7"/>
      <c r="E50" s="6" t="str">
        <f t="shared" si="0"/>
        <v/>
      </c>
    </row>
    <row r="51" spans="1:5">
      <c r="A51" s="9"/>
      <c r="B51" s="6" t="str">
        <f>IF(ISERROR(VLOOKUP(A51,通讯录!A:H,3,FALSE)),"",VLOOKUP(A51,通讯录!A:H,3,FALSE))</f>
        <v/>
      </c>
      <c r="C51" s="7"/>
      <c r="E51" s="6" t="str">
        <f t="shared" si="0"/>
        <v/>
      </c>
    </row>
    <row r="52" spans="1:5">
      <c r="A52" s="9"/>
      <c r="B52" s="6" t="str">
        <f>IF(ISERROR(VLOOKUP(A52,通讯录!A:H,3,FALSE)),"",VLOOKUP(A52,通讯录!A:H,3,FALSE))</f>
        <v/>
      </c>
      <c r="C52" s="7"/>
      <c r="E52" s="6" t="str">
        <f t="shared" si="0"/>
        <v/>
      </c>
    </row>
    <row r="53" spans="1:5">
      <c r="A53" s="9"/>
      <c r="B53" s="6" t="str">
        <f>IF(ISERROR(VLOOKUP(A53,通讯录!A:H,3,FALSE)),"",VLOOKUP(A53,通讯录!A:H,3,FALSE))</f>
        <v/>
      </c>
      <c r="C53" s="7"/>
      <c r="E53" s="6" t="str">
        <f t="shared" si="0"/>
        <v/>
      </c>
    </row>
    <row r="54" spans="1:5">
      <c r="A54" s="9"/>
      <c r="B54" s="6" t="str">
        <f>IF(ISERROR(VLOOKUP(A54,通讯录!A:H,3,FALSE)),"",VLOOKUP(A54,通讯录!A:H,3,FALSE))</f>
        <v/>
      </c>
      <c r="C54" s="7"/>
      <c r="E54" s="6" t="str">
        <f t="shared" si="0"/>
        <v/>
      </c>
    </row>
    <row r="55" spans="1:5">
      <c r="A55" s="9"/>
      <c r="B55" s="6" t="str">
        <f>IF(ISERROR(VLOOKUP(A55,通讯录!A:H,3,FALSE)),"",VLOOKUP(A55,通讯录!A:H,3,FALSE))</f>
        <v/>
      </c>
      <c r="C55" s="7"/>
      <c r="E55" s="6" t="str">
        <f t="shared" si="0"/>
        <v/>
      </c>
    </row>
    <row r="56" spans="1:5">
      <c r="A56" s="9"/>
      <c r="B56" s="6" t="str">
        <f>IF(ISERROR(VLOOKUP(A56,通讯录!A:H,3,FALSE)),"",VLOOKUP(A56,通讯录!A:H,3,FALSE))</f>
        <v/>
      </c>
      <c r="C56" s="7"/>
      <c r="E56" s="6" t="str">
        <f t="shared" si="0"/>
        <v/>
      </c>
    </row>
    <row r="57" spans="1:5">
      <c r="A57" s="9"/>
      <c r="B57" s="6" t="str">
        <f>IF(ISERROR(VLOOKUP(A57,通讯录!A:H,3,FALSE)),"",VLOOKUP(A57,通讯录!A:H,3,FALSE))</f>
        <v/>
      </c>
      <c r="C57" s="7"/>
      <c r="E57" s="6" t="str">
        <f t="shared" si="0"/>
        <v/>
      </c>
    </row>
    <row r="58" spans="1:5">
      <c r="A58" s="9"/>
      <c r="B58" s="6" t="str">
        <f>IF(ISERROR(VLOOKUP(A58,通讯录!A:H,3,FALSE)),"",VLOOKUP(A58,通讯录!A:H,3,FALSE))</f>
        <v/>
      </c>
      <c r="C58" s="7"/>
      <c r="E58" s="6" t="str">
        <f t="shared" si="0"/>
        <v/>
      </c>
    </row>
    <row r="59" spans="1:5">
      <c r="A59" s="9"/>
      <c r="B59" s="6" t="str">
        <f>IF(ISERROR(VLOOKUP(A59,通讯录!A:H,3,FALSE)),"",VLOOKUP(A59,通讯录!A:H,3,FALSE))</f>
        <v/>
      </c>
      <c r="C59" s="7"/>
      <c r="E59" s="6" t="str">
        <f t="shared" si="0"/>
        <v/>
      </c>
    </row>
    <row r="60" spans="1:5">
      <c r="A60" s="9"/>
      <c r="B60" s="6" t="str">
        <f>IF(ISERROR(VLOOKUP(A60,通讯录!A:H,3,FALSE)),"",VLOOKUP(A60,通讯录!A:H,3,FALSE))</f>
        <v/>
      </c>
      <c r="C60" s="7"/>
      <c r="E60" s="6" t="str">
        <f t="shared" si="0"/>
        <v/>
      </c>
    </row>
    <row r="61" spans="1:5">
      <c r="A61" s="9"/>
      <c r="B61" s="6" t="str">
        <f>IF(ISERROR(VLOOKUP(A61,通讯录!A:H,3,FALSE)),"",VLOOKUP(A61,通讯录!A:H,3,FALSE))</f>
        <v/>
      </c>
      <c r="C61" s="7"/>
      <c r="E61" s="6" t="str">
        <f t="shared" si="0"/>
        <v/>
      </c>
    </row>
    <row r="62" spans="1:5">
      <c r="A62" s="9"/>
      <c r="B62" s="6" t="str">
        <f>IF(ISERROR(VLOOKUP(A62,通讯录!A:H,3,FALSE)),"",VLOOKUP(A62,通讯录!A:H,3,FALSE))</f>
        <v/>
      </c>
      <c r="C62" s="7"/>
      <c r="E62" s="6" t="str">
        <f t="shared" si="0"/>
        <v/>
      </c>
    </row>
    <row r="63" spans="1:5">
      <c r="A63" s="9"/>
      <c r="B63" s="6" t="str">
        <f>IF(ISERROR(VLOOKUP(A63,通讯录!A:H,3,FALSE)),"",VLOOKUP(A63,通讯录!A:H,3,FALSE))</f>
        <v/>
      </c>
      <c r="C63" s="7"/>
      <c r="E63" s="6" t="str">
        <f t="shared" si="0"/>
        <v/>
      </c>
    </row>
    <row r="64" spans="1:5">
      <c r="A64" s="9"/>
      <c r="B64" s="6" t="str">
        <f>IF(ISERROR(VLOOKUP(A64,通讯录!A:H,3,FALSE)),"",VLOOKUP(A64,通讯录!A:H,3,FALSE))</f>
        <v/>
      </c>
      <c r="C64" s="7"/>
      <c r="E64" s="6" t="str">
        <f t="shared" si="0"/>
        <v/>
      </c>
    </row>
    <row r="65" spans="1:5">
      <c r="A65" s="9"/>
      <c r="B65" s="6" t="str">
        <f>IF(ISERROR(VLOOKUP(A65,通讯录!A:H,3,FALSE)),"",VLOOKUP(A65,通讯录!A:H,3,FALSE))</f>
        <v/>
      </c>
      <c r="C65" s="7"/>
      <c r="E65" s="6" t="str">
        <f t="shared" si="0"/>
        <v/>
      </c>
    </row>
    <row r="66" spans="1:5">
      <c r="A66" s="9"/>
      <c r="B66" s="6" t="str">
        <f>IF(ISERROR(VLOOKUP(A66,通讯录!A:H,3,FALSE)),"",VLOOKUP(A66,通讯录!A:H,3,FALSE))</f>
        <v/>
      </c>
      <c r="C66" s="7"/>
      <c r="E66" s="6" t="str">
        <f t="shared" si="0"/>
        <v/>
      </c>
    </row>
    <row r="67" spans="1:5">
      <c r="A67" s="9"/>
      <c r="B67" s="6" t="str">
        <f>IF(ISERROR(VLOOKUP(A67,通讯录!A:H,3,FALSE)),"",VLOOKUP(A67,通讯录!A:H,3,FALSE))</f>
        <v/>
      </c>
      <c r="C67" s="7"/>
      <c r="E67" s="6" t="str">
        <f t="shared" si="0"/>
        <v/>
      </c>
    </row>
    <row r="68" spans="1:5">
      <c r="A68" s="9"/>
      <c r="B68" s="6" t="str">
        <f>IF(ISERROR(VLOOKUP(A68,通讯录!A:H,3,FALSE)),"",VLOOKUP(A68,通讯录!A:H,3,FALSE))</f>
        <v/>
      </c>
      <c r="C68" s="7"/>
      <c r="E68" s="6" t="str">
        <f t="shared" si="0"/>
        <v/>
      </c>
    </row>
    <row r="69" spans="1:5">
      <c r="A69" s="9"/>
      <c r="B69" s="6" t="str">
        <f>IF(ISERROR(VLOOKUP(A69,通讯录!A:H,3,FALSE)),"",VLOOKUP(A69,通讯录!A:H,3,FALSE))</f>
        <v/>
      </c>
      <c r="C69" s="7"/>
      <c r="E69" s="6" t="str">
        <f t="shared" si="0"/>
        <v/>
      </c>
    </row>
    <row r="70" spans="1:5">
      <c r="A70" s="9"/>
      <c r="B70" s="6" t="str">
        <f>IF(ISERROR(VLOOKUP(A70,通讯录!A:H,3,FALSE)),"",VLOOKUP(A70,通讯录!A:H,3,FALSE))</f>
        <v/>
      </c>
      <c r="C70" s="7"/>
      <c r="E70" s="6" t="str">
        <f t="shared" si="0"/>
        <v/>
      </c>
    </row>
    <row r="71" spans="1:5">
      <c r="A71" s="9"/>
      <c r="B71" s="6" t="str">
        <f>IF(ISERROR(VLOOKUP(A71,通讯录!A:H,3,FALSE)),"",VLOOKUP(A71,通讯录!A:H,3,FALSE))</f>
        <v/>
      </c>
      <c r="C71" s="7"/>
      <c r="E71" s="6" t="str">
        <f t="shared" si="0"/>
        <v/>
      </c>
    </row>
    <row r="72" spans="1:5">
      <c r="A72" s="9"/>
      <c r="B72" s="6" t="str">
        <f>IF(ISERROR(VLOOKUP(A72,通讯录!A:H,3,FALSE)),"",VLOOKUP(A72,通讯录!A:H,3,FALSE))</f>
        <v/>
      </c>
      <c r="C72" s="7"/>
      <c r="E72" s="6" t="str">
        <f t="shared" si="0"/>
        <v/>
      </c>
    </row>
    <row r="73" spans="1:5">
      <c r="A73" s="9"/>
      <c r="B73" s="6" t="str">
        <f>IF(ISERROR(VLOOKUP(A73,通讯录!A:H,3,FALSE)),"",VLOOKUP(A73,通讯录!A:H,3,FALSE))</f>
        <v/>
      </c>
      <c r="C73" s="7"/>
      <c r="E73" s="6" t="str">
        <f t="shared" si="0"/>
        <v/>
      </c>
    </row>
    <row r="74" spans="1:5">
      <c r="A74" s="9"/>
      <c r="B74" s="6" t="str">
        <f>IF(ISERROR(VLOOKUP(A74,通讯录!A:H,3,FALSE)),"",VLOOKUP(A74,通讯录!A:H,3,FALSE))</f>
        <v/>
      </c>
      <c r="C74" s="7"/>
      <c r="E74" s="6" t="str">
        <f t="shared" si="0"/>
        <v/>
      </c>
    </row>
    <row r="75" spans="1:5">
      <c r="A75" s="9"/>
      <c r="B75" s="6" t="str">
        <f>IF(ISERROR(VLOOKUP(A75,通讯录!A:H,3,FALSE)),"",VLOOKUP(A75,通讯录!A:H,3,FALSE))</f>
        <v/>
      </c>
      <c r="C75" s="7"/>
      <c r="E75" s="6" t="str">
        <f t="shared" si="0"/>
        <v/>
      </c>
    </row>
    <row r="76" spans="1:5">
      <c r="A76" s="9"/>
      <c r="B76" s="6" t="str">
        <f>IF(ISERROR(VLOOKUP(A76,通讯录!A:H,3,FALSE)),"",VLOOKUP(A76,通讯录!A:H,3,FALSE))</f>
        <v/>
      </c>
      <c r="C76" s="7"/>
      <c r="E76" s="6" t="str">
        <f t="shared" si="0"/>
        <v/>
      </c>
    </row>
    <row r="77" spans="1:5">
      <c r="A77" s="9"/>
      <c r="B77" s="6" t="str">
        <f>IF(ISERROR(VLOOKUP(A77,通讯录!A:H,3,FALSE)),"",VLOOKUP(A77,通讯录!A:H,3,FALSE))</f>
        <v/>
      </c>
      <c r="C77" s="7"/>
      <c r="E77" s="6" t="str">
        <f t="shared" si="0"/>
        <v/>
      </c>
    </row>
    <row r="78" spans="1:5">
      <c r="A78" s="9"/>
      <c r="B78" s="6" t="str">
        <f>IF(ISERROR(VLOOKUP(A78,通讯录!A:H,3,FALSE)),"",VLOOKUP(A78,通讯录!A:H,3,FALSE))</f>
        <v/>
      </c>
      <c r="C78" s="7"/>
      <c r="E78" s="6" t="str">
        <f t="shared" si="0"/>
        <v/>
      </c>
    </row>
    <row r="79" spans="1:5">
      <c r="A79" s="9"/>
      <c r="B79" s="6" t="str">
        <f>IF(ISERROR(VLOOKUP(A79,通讯录!A:H,3,FALSE)),"",VLOOKUP(A79,通讯录!A:H,3,FALSE))</f>
        <v/>
      </c>
      <c r="C79" s="7"/>
      <c r="E79" s="6" t="str">
        <f t="shared" si="0"/>
        <v/>
      </c>
    </row>
    <row r="80" spans="1:5">
      <c r="A80" s="9"/>
      <c r="B80" s="6" t="str">
        <f>IF(ISERROR(VLOOKUP(A80,通讯录!A:H,3,FALSE)),"",VLOOKUP(A80,通讯录!A:H,3,FALSE))</f>
        <v/>
      </c>
      <c r="C80" s="7"/>
      <c r="E80" s="6" t="str">
        <f t="shared" si="0"/>
        <v/>
      </c>
    </row>
    <row r="81" spans="1:5">
      <c r="A81" s="9"/>
      <c r="B81" s="6" t="str">
        <f>IF(ISERROR(VLOOKUP(A81,通讯录!A:H,3,FALSE)),"",VLOOKUP(A81,通讯录!A:H,3,FALSE))</f>
        <v/>
      </c>
      <c r="C81" s="7"/>
      <c r="E81" s="6" t="str">
        <f t="shared" si="0"/>
        <v/>
      </c>
    </row>
    <row r="82" spans="1:5">
      <c r="A82" s="9"/>
      <c r="B82" s="6" t="str">
        <f>IF(ISERROR(VLOOKUP(A82,通讯录!A:H,3,FALSE)),"",VLOOKUP(A82,通讯录!A:H,3,FALSE))</f>
        <v/>
      </c>
      <c r="C82" s="7"/>
      <c r="E82" s="6" t="str">
        <f t="shared" si="0"/>
        <v/>
      </c>
    </row>
    <row r="83" spans="1:5">
      <c r="A83" s="9"/>
      <c r="B83" s="6" t="str">
        <f>IF(ISERROR(VLOOKUP(A83,通讯录!A:H,3,FALSE)),"",VLOOKUP(A83,通讯录!A:H,3,FALSE))</f>
        <v/>
      </c>
      <c r="C83" s="7"/>
      <c r="E83" s="6" t="str">
        <f t="shared" si="0"/>
        <v/>
      </c>
    </row>
    <row r="84" spans="1:5">
      <c r="A84" s="9"/>
      <c r="B84" s="6" t="str">
        <f>IF(ISERROR(VLOOKUP(A84,通讯录!A:H,3,FALSE)),"",VLOOKUP(A84,通讯录!A:H,3,FALSE))</f>
        <v/>
      </c>
      <c r="C84" s="7"/>
      <c r="E84" s="6" t="str">
        <f t="shared" si="0"/>
        <v/>
      </c>
    </row>
    <row r="85" spans="1:5">
      <c r="A85" s="9"/>
      <c r="B85" s="6" t="str">
        <f>IF(ISERROR(VLOOKUP(A85,通讯录!A:H,3,FALSE)),"",VLOOKUP(A85,通讯录!A:H,3,FALSE))</f>
        <v/>
      </c>
      <c r="C85" s="7"/>
      <c r="E85" s="6" t="str">
        <f t="shared" si="0"/>
        <v/>
      </c>
    </row>
    <row r="86" spans="1:5">
      <c r="A86" s="9"/>
      <c r="B86" s="6" t="str">
        <f>IF(ISERROR(VLOOKUP(A86,通讯录!A:H,3,FALSE)),"",VLOOKUP(A86,通讯录!A:H,3,FALSE))</f>
        <v/>
      </c>
      <c r="C86" s="7"/>
      <c r="E86" s="6" t="str">
        <f t="shared" ref="E86:E99" si="1">CONCATENATE(F86,G86,H86,I86,J86,K86,L86)</f>
        <v/>
      </c>
    </row>
    <row r="87" spans="1:5">
      <c r="A87" s="9"/>
      <c r="B87" s="6" t="str">
        <f>IF(ISERROR(VLOOKUP(A87,通讯录!A:H,3,FALSE)),"",VLOOKUP(A87,通讯录!A:H,3,FALSE))</f>
        <v/>
      </c>
      <c r="C87" s="7"/>
      <c r="E87" s="6" t="str">
        <f t="shared" si="1"/>
        <v/>
      </c>
    </row>
    <row r="88" spans="1:5">
      <c r="A88" s="9"/>
      <c r="B88" s="6" t="str">
        <f>IF(ISERROR(VLOOKUP(A88,通讯录!A:H,3,FALSE)),"",VLOOKUP(A88,通讯录!A:H,3,FALSE))</f>
        <v/>
      </c>
      <c r="C88" s="7"/>
      <c r="E88" s="6" t="str">
        <f t="shared" si="1"/>
        <v/>
      </c>
    </row>
    <row r="89" spans="1:5">
      <c r="A89" s="9"/>
      <c r="B89" s="6" t="str">
        <f>IF(ISERROR(VLOOKUP(A89,通讯录!A:H,3,FALSE)),"",VLOOKUP(A89,通讯录!A:H,3,FALSE))</f>
        <v/>
      </c>
      <c r="C89" s="7"/>
      <c r="E89" s="6" t="str">
        <f t="shared" si="1"/>
        <v/>
      </c>
    </row>
    <row r="90" spans="1:5">
      <c r="A90" s="9"/>
      <c r="B90" s="6" t="str">
        <f>IF(ISERROR(VLOOKUP(A90,通讯录!A:H,3,FALSE)),"",VLOOKUP(A90,通讯录!A:H,3,FALSE))</f>
        <v/>
      </c>
      <c r="C90" s="7"/>
      <c r="E90" s="6" t="str">
        <f t="shared" si="1"/>
        <v/>
      </c>
    </row>
    <row r="91" spans="1:5">
      <c r="A91" s="9"/>
      <c r="B91" s="6" t="str">
        <f>IF(ISERROR(VLOOKUP(A91,通讯录!A:H,3,FALSE)),"",VLOOKUP(A91,通讯录!A:H,3,FALSE))</f>
        <v/>
      </c>
      <c r="C91" s="7"/>
      <c r="E91" s="6" t="str">
        <f t="shared" si="1"/>
        <v/>
      </c>
    </row>
    <row r="92" spans="1:5">
      <c r="A92" s="9"/>
      <c r="B92" s="6" t="str">
        <f>IF(ISERROR(VLOOKUP(A92,通讯录!A:H,3,FALSE)),"",VLOOKUP(A92,通讯录!A:H,3,FALSE))</f>
        <v/>
      </c>
      <c r="E92" s="6" t="str">
        <f t="shared" si="1"/>
        <v/>
      </c>
    </row>
    <row r="93" spans="1:5">
      <c r="A93" s="9"/>
      <c r="B93" s="6" t="str">
        <f>IF(ISERROR(VLOOKUP(A93,通讯录!A:H,3,FALSE)),"",VLOOKUP(A93,通讯录!A:H,3,FALSE))</f>
        <v/>
      </c>
      <c r="E93" s="6" t="str">
        <f t="shared" si="1"/>
        <v/>
      </c>
    </row>
    <row r="94" spans="1:5">
      <c r="A94" s="9"/>
      <c r="B94" s="6" t="str">
        <f>IF(ISERROR(VLOOKUP(A94,通讯录!A:H,3,FALSE)),"",VLOOKUP(A94,通讯录!A:H,3,FALSE))</f>
        <v/>
      </c>
      <c r="E94" s="6" t="str">
        <f t="shared" si="1"/>
        <v/>
      </c>
    </row>
    <row r="95" spans="1:5">
      <c r="A95" s="9"/>
      <c r="B95" s="6" t="str">
        <f>IF(ISERROR(VLOOKUP(A95,通讯录!A:H,3,FALSE)),"",VLOOKUP(A95,通讯录!A:H,3,FALSE))</f>
        <v/>
      </c>
      <c r="E95" s="6" t="str">
        <f t="shared" si="1"/>
        <v/>
      </c>
    </row>
    <row r="96" spans="1:5">
      <c r="A96" s="9"/>
      <c r="B96" s="6" t="str">
        <f>IF(ISERROR(VLOOKUP(A96,通讯录!A:H,3,FALSE)),"",VLOOKUP(A96,通讯录!A:H,3,FALSE))</f>
        <v/>
      </c>
      <c r="E96" s="6" t="str">
        <f t="shared" si="1"/>
        <v/>
      </c>
    </row>
    <row r="97" spans="1:5">
      <c r="A97" s="9"/>
      <c r="B97" s="6" t="str">
        <f>IF(ISERROR(VLOOKUP(A97,通讯录!A:H,3,FALSE)),"",VLOOKUP(A97,通讯录!A:H,3,FALSE))</f>
        <v/>
      </c>
      <c r="E97" s="6" t="str">
        <f t="shared" si="1"/>
        <v/>
      </c>
    </row>
    <row r="98" spans="1:5">
      <c r="A98" s="9"/>
      <c r="B98" s="6" t="str">
        <f>IF(ISERROR(VLOOKUP(A98,通讯录!A:H,3,FALSE)),"",VLOOKUP(A98,通讯录!A:H,3,FALSE))</f>
        <v/>
      </c>
      <c r="E98" s="6" t="str">
        <f t="shared" si="1"/>
        <v/>
      </c>
    </row>
    <row r="99" spans="1:5">
      <c r="A99" s="9"/>
      <c r="B99" s="6" t="str">
        <f>IF(ISERROR(VLOOKUP(A99,通讯录!A:H,3,FALSE)),"",VLOOKUP(A99,通讯录!A:H,3,FALSE))</f>
        <v/>
      </c>
      <c r="E99" s="6" t="str">
        <f t="shared" si="1"/>
        <v/>
      </c>
    </row>
  </sheetData>
  <mergeCells count="1">
    <mergeCell ref="B1:D1"/>
  </mergeCells>
  <phoneticPr fontId="2" type="noConversion"/>
  <dataValidations count="1">
    <dataValidation type="list" allowBlank="1" showInputMessage="1" showErrorMessage="1" sqref="J1">
      <formula1>"QQ粘贴并回车.vbs,发QQ消息可用.vbs"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endtofirst">
                <anchor>
                  <from>
                    <xdr:col>4</xdr:col>
                    <xdr:colOff>1234440</xdr:colOff>
                    <xdr:row>0</xdr:row>
                    <xdr:rowOff>0</xdr:rowOff>
                  </from>
                  <to>
                    <xdr:col>4</xdr:col>
                    <xdr:colOff>1905000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批量发送_Click">
                <anchor>
                  <from>
                    <xdr:col>4</xdr:col>
                    <xdr:colOff>2331720</xdr:colOff>
                    <xdr:row>0</xdr:row>
                    <xdr:rowOff>0</xdr:rowOff>
                  </from>
                  <to>
                    <xdr:col>5</xdr:col>
                    <xdr:colOff>198120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批量替换并生成文件">
                <anchor>
                  <from>
                    <xdr:col>5</xdr:col>
                    <xdr:colOff>464820</xdr:colOff>
                    <xdr:row>0</xdr:row>
                    <xdr:rowOff>0</xdr:rowOff>
                  </from>
                  <to>
                    <xdr:col>6</xdr:col>
                    <xdr:colOff>723900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5"/>
  <sheetViews>
    <sheetView workbookViewId="0">
      <selection activeCell="B39" sqref="B39"/>
    </sheetView>
  </sheetViews>
  <sheetFormatPr defaultColWidth="9" defaultRowHeight="14.4"/>
  <cols>
    <col min="1" max="1" width="19.109375" style="1" customWidth="1"/>
    <col min="2" max="2" width="16.33203125" style="1" customWidth="1"/>
    <col min="3" max="3" width="29.6640625" style="1" customWidth="1"/>
    <col min="4" max="4" width="15.44140625" style="1" customWidth="1"/>
    <col min="5" max="5" width="19.21875" style="1" customWidth="1"/>
    <col min="6" max="6" width="52.21875" style="1" customWidth="1"/>
    <col min="7" max="16384" width="9" style="1"/>
  </cols>
  <sheetData>
    <row r="1" spans="1:6" ht="128.25" customHeight="1">
      <c r="A1" s="1" t="s">
        <v>13</v>
      </c>
      <c r="B1" s="72" t="s">
        <v>141</v>
      </c>
      <c r="C1" s="70"/>
      <c r="D1" s="70"/>
      <c r="E1" s="1" t="s">
        <v>14</v>
      </c>
      <c r="F1" s="5" t="s">
        <v>62</v>
      </c>
    </row>
    <row r="2" spans="1:6">
      <c r="A2" s="1" t="s">
        <v>7</v>
      </c>
      <c r="B2" s="1" t="s">
        <v>8</v>
      </c>
      <c r="C2" s="54" t="s">
        <v>101</v>
      </c>
    </row>
    <row r="4" spans="1:6" hidden="1"/>
    <row r="5" spans="1:6" hidden="1"/>
    <row r="6" spans="1:6" hidden="1"/>
    <row r="7" spans="1:6" hidden="1"/>
    <row r="8" spans="1:6" hidden="1"/>
    <row r="9" spans="1:6" hidden="1"/>
    <row r="10" spans="1:6" hidden="1"/>
    <row r="11" spans="1:6" hidden="1"/>
    <row r="12" spans="1:6" hidden="1"/>
    <row r="13" spans="1:6" hidden="1"/>
    <row r="14" spans="1:6" hidden="1"/>
    <row r="15" spans="1:6" hidden="1"/>
    <row r="16" spans="1:6" hidden="1"/>
    <row r="17" spans="1:15" hidden="1"/>
    <row r="18" spans="1:15" hidden="1"/>
    <row r="19" spans="1:15" s="3" customFormat="1" ht="16.8" customHeight="1">
      <c r="A19" s="2" t="s">
        <v>105</v>
      </c>
      <c r="B19" s="2" t="s">
        <v>106</v>
      </c>
      <c r="C19" s="2" t="s">
        <v>107</v>
      </c>
      <c r="D19" s="2" t="s">
        <v>108</v>
      </c>
      <c r="E19" s="2" t="s">
        <v>109</v>
      </c>
      <c r="F19" s="2" t="s">
        <v>110</v>
      </c>
      <c r="G19" s="2" t="s">
        <v>111</v>
      </c>
      <c r="H19" s="2" t="s">
        <v>112</v>
      </c>
      <c r="I19" s="2" t="s">
        <v>113</v>
      </c>
      <c r="J19" s="2" t="s">
        <v>114</v>
      </c>
      <c r="K19" s="2" t="s">
        <v>115</v>
      </c>
      <c r="L19" s="2" t="s">
        <v>116</v>
      </c>
      <c r="M19" s="2" t="s">
        <v>117</v>
      </c>
      <c r="N19" s="2" t="s">
        <v>118</v>
      </c>
      <c r="O19" s="2" t="s">
        <v>119</v>
      </c>
    </row>
    <row r="20" spans="1:15" s="3" customFormat="1">
      <c r="A20" s="3" t="s">
        <v>60</v>
      </c>
      <c r="B20" s="2" t="s">
        <v>9</v>
      </c>
      <c r="C20" s="3" t="s">
        <v>134</v>
      </c>
      <c r="E20" s="2" t="s">
        <v>10</v>
      </c>
      <c r="F20" s="2" t="s">
        <v>11</v>
      </c>
      <c r="G20" s="2" t="s">
        <v>12</v>
      </c>
    </row>
    <row r="21" spans="1:15">
      <c r="A21" s="1" t="s">
        <v>54</v>
      </c>
      <c r="B21" s="8" t="str">
        <f>IF(ISERROR(VLOOKUP(A21,通讯录!A:H,6,FALSE)),"",VLOOKUP(A21,通讯录!A:H,6,FALSE))</f>
        <v>53053067@qq.com</v>
      </c>
      <c r="C21" s="62" t="s">
        <v>135</v>
      </c>
      <c r="D21" s="60"/>
      <c r="E21" s="4" t="s">
        <v>1</v>
      </c>
      <c r="F21" s="1" t="s">
        <v>2</v>
      </c>
      <c r="G21" s="1" t="s">
        <v>5</v>
      </c>
    </row>
    <row r="22" spans="1:15">
      <c r="A22" s="1" t="s">
        <v>59</v>
      </c>
      <c r="B22" s="8" t="str">
        <f>IF(ISERROR(VLOOKUP(A22,通讯录!A:H,6,FALSE)),"",VLOOKUP(A22,通讯录!A:H,6,FALSE))</f>
        <v>187277552@qq.com</v>
      </c>
      <c r="C22" s="62" t="s">
        <v>120</v>
      </c>
      <c r="D22" s="60"/>
      <c r="E22" s="4" t="s">
        <v>0</v>
      </c>
      <c r="F22" s="1" t="s">
        <v>3</v>
      </c>
      <c r="G22" s="1" t="s">
        <v>4</v>
      </c>
    </row>
    <row r="23" spans="1:15">
      <c r="D23" s="8" t="str">
        <f>IF(ISERROR(VLOOKUP(A23,通讯录!A:H,6,FALSE)),"",VLOOKUP(A23,通讯录!A:H,6,FALSE))</f>
        <v/>
      </c>
    </row>
    <row r="24" spans="1:15">
      <c r="D24" s="8" t="str">
        <f>IF(ISERROR(VLOOKUP(A24,通讯录!A:H,6,FALSE)),"",VLOOKUP(A24,通讯录!A:H,6,FALSE))</f>
        <v/>
      </c>
    </row>
    <row r="25" spans="1:15" ht="16.5" customHeight="1">
      <c r="D25" s="8" t="str">
        <f>IF(ISERROR(VLOOKUP(A25,通讯录!A:H,6,FALSE)),"",VLOOKUP(A25,通讯录!A:H,6,FALSE))</f>
        <v/>
      </c>
    </row>
    <row r="26" spans="1:15">
      <c r="D26" s="8" t="str">
        <f>IF(ISERROR(VLOOKUP(A26,通讯录!A:H,6,FALSE)),"",VLOOKUP(A26,通讯录!A:H,6,FALSE))</f>
        <v/>
      </c>
    </row>
    <row r="27" spans="1:15">
      <c r="D27" s="8" t="str">
        <f>IF(ISERROR(VLOOKUP(A27,通讯录!A:H,6,FALSE)),"",VLOOKUP(A27,通讯录!A:H,6,FALSE))</f>
        <v/>
      </c>
    </row>
    <row r="28" spans="1:15">
      <c r="D28" s="8" t="str">
        <f>IF(ISERROR(VLOOKUP(A28,通讯录!A:H,6,FALSE)),"",VLOOKUP(A28,通讯录!A:H,6,FALSE))</f>
        <v/>
      </c>
    </row>
    <row r="29" spans="1:15">
      <c r="D29" s="8" t="str">
        <f>IF(ISERROR(VLOOKUP(A29,通讯录!A:H,6,FALSE)),"",VLOOKUP(A29,通讯录!A:H,6,FALSE))</f>
        <v/>
      </c>
    </row>
    <row r="30" spans="1:15">
      <c r="D30" s="8" t="str">
        <f>IF(ISERROR(VLOOKUP(A30,通讯录!A:H,6,FALSE)),"",VLOOKUP(A30,通讯录!A:H,6,FALSE))</f>
        <v/>
      </c>
    </row>
    <row r="31" spans="1:15">
      <c r="D31" s="8" t="str">
        <f>IF(ISERROR(VLOOKUP(A31,通讯录!A:H,6,FALSE)),"",VLOOKUP(A31,通讯录!A:H,6,FALSE))</f>
        <v/>
      </c>
    </row>
    <row r="32" spans="1:15">
      <c r="D32" s="8" t="str">
        <f>IF(ISERROR(VLOOKUP(A32,通讯录!A:H,6,FALSE)),"",VLOOKUP(A32,通讯录!A:H,6,FALSE))</f>
        <v/>
      </c>
    </row>
    <row r="33" spans="4:4">
      <c r="D33" s="8" t="str">
        <f>IF(ISERROR(VLOOKUP(A33,通讯录!A:H,6,FALSE)),"",VLOOKUP(A33,通讯录!A:H,6,FALSE))</f>
        <v/>
      </c>
    </row>
    <row r="34" spans="4:4">
      <c r="D34" s="8" t="str">
        <f>IF(ISERROR(VLOOKUP(A34,通讯录!A:H,6,FALSE)),"",VLOOKUP(A34,通讯录!A:H,6,FALSE))</f>
        <v/>
      </c>
    </row>
    <row r="35" spans="4:4">
      <c r="D35" s="8" t="str">
        <f>IF(ISERROR(VLOOKUP(A35,通讯录!A:H,6,FALSE)),"",VLOOKUP(A35,通讯录!A:H,6,FALSE))</f>
        <v/>
      </c>
    </row>
    <row r="36" spans="4:4">
      <c r="D36" s="8" t="str">
        <f>IF(ISERROR(VLOOKUP(A36,通讯录!A:H,6,FALSE)),"",VLOOKUP(A36,通讯录!A:H,6,FALSE))</f>
        <v/>
      </c>
    </row>
    <row r="37" spans="4:4">
      <c r="D37" s="8" t="str">
        <f>IF(ISERROR(VLOOKUP(A37,通讯录!A:H,6,FALSE)),"",VLOOKUP(A37,通讯录!A:H,6,FALSE))</f>
        <v/>
      </c>
    </row>
    <row r="38" spans="4:4">
      <c r="D38" s="8" t="str">
        <f>IF(ISERROR(VLOOKUP(A38,通讯录!A:H,6,FALSE)),"",VLOOKUP(A38,通讯录!A:H,6,FALSE))</f>
        <v/>
      </c>
    </row>
    <row r="39" spans="4:4">
      <c r="D39" s="8" t="str">
        <f>IF(ISERROR(VLOOKUP(A39,通讯录!A:H,6,FALSE)),"",VLOOKUP(A39,通讯录!A:H,6,FALSE))</f>
        <v/>
      </c>
    </row>
    <row r="40" spans="4:4">
      <c r="D40" s="8" t="str">
        <f>IF(ISERROR(VLOOKUP(A40,通讯录!A:H,6,FALSE)),"",VLOOKUP(A40,通讯录!A:H,6,FALSE))</f>
        <v/>
      </c>
    </row>
    <row r="41" spans="4:4">
      <c r="D41" s="8" t="str">
        <f>IF(ISERROR(VLOOKUP(A41,通讯录!A:H,6,FALSE)),"",VLOOKUP(A41,通讯录!A:H,6,FALSE))</f>
        <v/>
      </c>
    </row>
    <row r="42" spans="4:4">
      <c r="D42" s="8" t="str">
        <f>IF(ISERROR(VLOOKUP(A42,通讯录!A:H,6,FALSE)),"",VLOOKUP(A42,通讯录!A:H,6,FALSE))</f>
        <v/>
      </c>
    </row>
    <row r="43" spans="4:4">
      <c r="D43" s="8" t="str">
        <f>IF(ISERROR(VLOOKUP(A43,通讯录!A:H,6,FALSE)),"",VLOOKUP(A43,通讯录!A:H,6,FALSE))</f>
        <v/>
      </c>
    </row>
    <row r="44" spans="4:4">
      <c r="D44" s="8" t="str">
        <f>IF(ISERROR(VLOOKUP(A44,通讯录!A:H,6,FALSE)),"",VLOOKUP(A44,通讯录!A:H,6,FALSE))</f>
        <v/>
      </c>
    </row>
    <row r="45" spans="4:4">
      <c r="D45" s="8" t="str">
        <f>IF(ISERROR(VLOOKUP(A45,通讯录!A:H,6,FALSE)),"",VLOOKUP(A45,通讯录!A:H,6,FALSE))</f>
        <v/>
      </c>
    </row>
    <row r="46" spans="4:4">
      <c r="D46" s="8" t="str">
        <f>IF(ISERROR(VLOOKUP(A46,通讯录!A:H,6,FALSE)),"",VLOOKUP(A46,通讯录!A:H,6,FALSE))</f>
        <v/>
      </c>
    </row>
    <row r="47" spans="4:4">
      <c r="D47" s="8" t="str">
        <f>IF(ISERROR(VLOOKUP(A47,通讯录!A:H,6,FALSE)),"",VLOOKUP(A47,通讯录!A:H,6,FALSE))</f>
        <v/>
      </c>
    </row>
    <row r="48" spans="4:4">
      <c r="D48" s="8" t="str">
        <f>IF(ISERROR(VLOOKUP(A48,通讯录!A:H,6,FALSE)),"",VLOOKUP(A48,通讯录!A:H,6,FALSE))</f>
        <v/>
      </c>
    </row>
    <row r="49" spans="4:4">
      <c r="D49" s="8" t="str">
        <f>IF(ISERROR(VLOOKUP(A49,通讯录!A:H,6,FALSE)),"",VLOOKUP(A49,通讯录!A:H,6,FALSE))</f>
        <v/>
      </c>
    </row>
    <row r="50" spans="4:4">
      <c r="D50" s="8" t="str">
        <f>IF(ISERROR(VLOOKUP(A50,通讯录!A:H,6,FALSE)),"",VLOOKUP(A50,通讯录!A:H,6,FALSE))</f>
        <v/>
      </c>
    </row>
    <row r="51" spans="4:4">
      <c r="D51" s="8" t="str">
        <f>IF(ISERROR(VLOOKUP(A51,通讯录!A:H,6,FALSE)),"",VLOOKUP(A51,通讯录!A:H,6,FALSE))</f>
        <v/>
      </c>
    </row>
    <row r="52" spans="4:4">
      <c r="D52" s="8" t="str">
        <f>IF(ISERROR(VLOOKUP(A52,通讯录!A:H,6,FALSE)),"",VLOOKUP(A52,通讯录!A:H,6,FALSE))</f>
        <v/>
      </c>
    </row>
    <row r="53" spans="4:4">
      <c r="D53" s="8" t="str">
        <f>IF(ISERROR(VLOOKUP(A53,通讯录!A:H,6,FALSE)),"",VLOOKUP(A53,通讯录!A:H,6,FALSE))</f>
        <v/>
      </c>
    </row>
    <row r="54" spans="4:4">
      <c r="D54" s="8" t="str">
        <f>IF(ISERROR(VLOOKUP(A54,通讯录!A:H,6,FALSE)),"",VLOOKUP(A54,通讯录!A:H,6,FALSE))</f>
        <v/>
      </c>
    </row>
    <row r="55" spans="4:4">
      <c r="D55" s="8" t="str">
        <f>IF(ISERROR(VLOOKUP(A55,通讯录!A:H,6,FALSE)),"",VLOOKUP(A55,通讯录!A:H,6,FALSE))</f>
        <v/>
      </c>
    </row>
    <row r="56" spans="4:4">
      <c r="D56" s="8" t="str">
        <f>IF(ISERROR(VLOOKUP(A56,通讯录!A:H,6,FALSE)),"",VLOOKUP(A56,通讯录!A:H,6,FALSE))</f>
        <v/>
      </c>
    </row>
    <row r="57" spans="4:4">
      <c r="D57" s="8" t="str">
        <f>IF(ISERROR(VLOOKUP(A57,通讯录!A:H,6,FALSE)),"",VLOOKUP(A57,通讯录!A:H,6,FALSE))</f>
        <v/>
      </c>
    </row>
    <row r="58" spans="4:4">
      <c r="D58" s="8" t="str">
        <f>IF(ISERROR(VLOOKUP(A58,通讯录!A:H,6,FALSE)),"",VLOOKUP(A58,通讯录!A:H,6,FALSE))</f>
        <v/>
      </c>
    </row>
    <row r="59" spans="4:4">
      <c r="D59" s="8" t="str">
        <f>IF(ISERROR(VLOOKUP(A59,通讯录!A:H,6,FALSE)),"",VLOOKUP(A59,通讯录!A:H,6,FALSE))</f>
        <v/>
      </c>
    </row>
    <row r="60" spans="4:4">
      <c r="D60" s="8" t="str">
        <f>IF(ISERROR(VLOOKUP(A60,通讯录!A:H,6,FALSE)),"",VLOOKUP(A60,通讯录!A:H,6,FALSE))</f>
        <v/>
      </c>
    </row>
    <row r="61" spans="4:4">
      <c r="D61" s="8" t="str">
        <f>IF(ISERROR(VLOOKUP(A61,通讯录!A:H,6,FALSE)),"",VLOOKUP(A61,通讯录!A:H,6,FALSE))</f>
        <v/>
      </c>
    </row>
    <row r="62" spans="4:4">
      <c r="D62" s="8" t="str">
        <f>IF(ISERROR(VLOOKUP(A62,通讯录!A:H,6,FALSE)),"",VLOOKUP(A62,通讯录!A:H,6,FALSE))</f>
        <v/>
      </c>
    </row>
    <row r="63" spans="4:4">
      <c r="D63" s="8" t="str">
        <f>IF(ISERROR(VLOOKUP(A63,通讯录!A:H,6,FALSE)),"",VLOOKUP(A63,通讯录!A:H,6,FALSE))</f>
        <v/>
      </c>
    </row>
    <row r="64" spans="4:4">
      <c r="D64" s="8" t="str">
        <f>IF(ISERROR(VLOOKUP(A64,通讯录!A:H,6,FALSE)),"",VLOOKUP(A64,通讯录!A:H,6,FALSE))</f>
        <v/>
      </c>
    </row>
    <row r="65" spans="4:4">
      <c r="D65" s="8" t="str">
        <f>IF(ISERROR(VLOOKUP(A65,通讯录!A:H,6,FALSE)),"",VLOOKUP(A65,通讯录!A:H,6,FALSE))</f>
        <v/>
      </c>
    </row>
    <row r="66" spans="4:4">
      <c r="D66" s="8" t="str">
        <f>IF(ISERROR(VLOOKUP(A66,通讯录!A:H,6,FALSE)),"",VLOOKUP(A66,通讯录!A:H,6,FALSE))</f>
        <v/>
      </c>
    </row>
    <row r="67" spans="4:4">
      <c r="D67" s="8" t="str">
        <f>IF(ISERROR(VLOOKUP(A67,通讯录!A:H,6,FALSE)),"",VLOOKUP(A67,通讯录!A:H,6,FALSE))</f>
        <v/>
      </c>
    </row>
    <row r="68" spans="4:4">
      <c r="D68" s="8" t="str">
        <f>IF(ISERROR(VLOOKUP(A68,通讯录!A:H,6,FALSE)),"",VLOOKUP(A68,通讯录!A:H,6,FALSE))</f>
        <v/>
      </c>
    </row>
    <row r="69" spans="4:4">
      <c r="D69" s="8" t="str">
        <f>IF(ISERROR(VLOOKUP(A69,通讯录!A:H,6,FALSE)),"",VLOOKUP(A69,通讯录!A:H,6,FALSE))</f>
        <v/>
      </c>
    </row>
    <row r="70" spans="4:4">
      <c r="D70" s="8" t="str">
        <f>IF(ISERROR(VLOOKUP(A70,通讯录!A:H,6,FALSE)),"",VLOOKUP(A70,通讯录!A:H,6,FALSE))</f>
        <v/>
      </c>
    </row>
    <row r="71" spans="4:4">
      <c r="D71" s="8" t="str">
        <f>IF(ISERROR(VLOOKUP(A71,通讯录!A:H,6,FALSE)),"",VLOOKUP(A71,通讯录!A:H,6,FALSE))</f>
        <v/>
      </c>
    </row>
    <row r="72" spans="4:4">
      <c r="D72" s="8" t="str">
        <f>IF(ISERROR(VLOOKUP(A72,通讯录!A:H,6,FALSE)),"",VLOOKUP(A72,通讯录!A:H,6,FALSE))</f>
        <v/>
      </c>
    </row>
    <row r="73" spans="4:4">
      <c r="D73" s="8" t="str">
        <f>IF(ISERROR(VLOOKUP(A73,通讯录!A:H,6,FALSE)),"",VLOOKUP(A73,通讯录!A:H,6,FALSE))</f>
        <v/>
      </c>
    </row>
    <row r="74" spans="4:4">
      <c r="D74" s="8" t="str">
        <f>IF(ISERROR(VLOOKUP(A74,通讯录!A:H,6,FALSE)),"",VLOOKUP(A74,通讯录!A:H,6,FALSE))</f>
        <v/>
      </c>
    </row>
    <row r="75" spans="4:4">
      <c r="D75" s="8" t="str">
        <f>IF(ISERROR(VLOOKUP(A75,通讯录!A:H,6,FALSE)),"",VLOOKUP(A75,通讯录!A:H,6,FALSE))</f>
        <v/>
      </c>
    </row>
    <row r="76" spans="4:4">
      <c r="D76" s="8" t="str">
        <f>IF(ISERROR(VLOOKUP(A76,通讯录!A:H,6,FALSE)),"",VLOOKUP(A76,通讯录!A:H,6,FALSE))</f>
        <v/>
      </c>
    </row>
    <row r="77" spans="4:4">
      <c r="D77" s="8" t="str">
        <f>IF(ISERROR(VLOOKUP(A77,通讯录!A:H,6,FALSE)),"",VLOOKUP(A77,通讯录!A:H,6,FALSE))</f>
        <v/>
      </c>
    </row>
    <row r="78" spans="4:4">
      <c r="D78" s="8" t="str">
        <f>IF(ISERROR(VLOOKUP(A78,通讯录!A:H,6,FALSE)),"",VLOOKUP(A78,通讯录!A:H,6,FALSE))</f>
        <v/>
      </c>
    </row>
    <row r="79" spans="4:4">
      <c r="D79" s="8" t="str">
        <f>IF(ISERROR(VLOOKUP(A79,通讯录!A:H,6,FALSE)),"",VLOOKUP(A79,通讯录!A:H,6,FALSE))</f>
        <v/>
      </c>
    </row>
    <row r="80" spans="4:4">
      <c r="D80" s="8" t="str">
        <f>IF(ISERROR(VLOOKUP(A80,通讯录!A:H,6,FALSE)),"",VLOOKUP(A80,通讯录!A:H,6,FALSE))</f>
        <v/>
      </c>
    </row>
    <row r="81" spans="4:4">
      <c r="D81" s="8" t="str">
        <f>IF(ISERROR(VLOOKUP(A81,通讯录!A:H,6,FALSE)),"",VLOOKUP(A81,通讯录!A:H,6,FALSE))</f>
        <v/>
      </c>
    </row>
    <row r="82" spans="4:4">
      <c r="D82" s="8" t="str">
        <f>IF(ISERROR(VLOOKUP(A82,通讯录!A:H,6,FALSE)),"",VLOOKUP(A82,通讯录!A:H,6,FALSE))</f>
        <v/>
      </c>
    </row>
    <row r="83" spans="4:4">
      <c r="D83" s="8" t="str">
        <f>IF(ISERROR(VLOOKUP(A83,通讯录!A:H,6,FALSE)),"",VLOOKUP(A83,通讯录!A:H,6,FALSE))</f>
        <v/>
      </c>
    </row>
    <row r="84" spans="4:4">
      <c r="D84" s="8" t="str">
        <f>IF(ISERROR(VLOOKUP(A84,通讯录!A:H,6,FALSE)),"",VLOOKUP(A84,通讯录!A:H,6,FALSE))</f>
        <v/>
      </c>
    </row>
    <row r="85" spans="4:4">
      <c r="D85" s="8" t="str">
        <f>IF(ISERROR(VLOOKUP(A85,通讯录!A:H,6,FALSE)),"",VLOOKUP(A85,通讯录!A:H,6,FALSE))</f>
        <v/>
      </c>
    </row>
    <row r="86" spans="4:4">
      <c r="D86" s="8" t="str">
        <f>IF(ISERROR(VLOOKUP(A86,通讯录!A:H,6,FALSE)),"",VLOOKUP(A86,通讯录!A:H,6,FALSE))</f>
        <v/>
      </c>
    </row>
    <row r="87" spans="4:4">
      <c r="D87" s="8" t="str">
        <f>IF(ISERROR(VLOOKUP(A87,通讯录!A:H,6,FALSE)),"",VLOOKUP(A87,通讯录!A:H,6,FALSE))</f>
        <v/>
      </c>
    </row>
    <row r="88" spans="4:4">
      <c r="D88" s="8" t="str">
        <f>IF(ISERROR(VLOOKUP(A88,通讯录!A:H,6,FALSE)),"",VLOOKUP(A88,通讯录!A:H,6,FALSE))</f>
        <v/>
      </c>
    </row>
    <row r="89" spans="4:4">
      <c r="D89" s="8" t="str">
        <f>IF(ISERROR(VLOOKUP(A89,通讯录!A:H,6,FALSE)),"",VLOOKUP(A89,通讯录!A:H,6,FALSE))</f>
        <v/>
      </c>
    </row>
    <row r="90" spans="4:4">
      <c r="D90" s="8" t="str">
        <f>IF(ISERROR(VLOOKUP(A90,通讯录!A:H,6,FALSE)),"",VLOOKUP(A90,通讯录!A:H,6,FALSE))</f>
        <v/>
      </c>
    </row>
    <row r="91" spans="4:4">
      <c r="D91" s="8" t="str">
        <f>IF(ISERROR(VLOOKUP(A91,通讯录!A:H,6,FALSE)),"",VLOOKUP(A91,通讯录!A:H,6,FALSE))</f>
        <v/>
      </c>
    </row>
    <row r="92" spans="4:4">
      <c r="D92" s="8" t="str">
        <f>IF(ISERROR(VLOOKUP(A92,通讯录!A:H,6,FALSE)),"",VLOOKUP(A92,通讯录!A:H,6,FALSE))</f>
        <v/>
      </c>
    </row>
    <row r="93" spans="4:4">
      <c r="D93" s="8" t="str">
        <f>IF(ISERROR(VLOOKUP(A93,通讯录!A:H,6,FALSE)),"",VLOOKUP(A93,通讯录!A:H,6,FALSE))</f>
        <v/>
      </c>
    </row>
    <row r="94" spans="4:4">
      <c r="D94" s="8" t="str">
        <f>IF(ISERROR(VLOOKUP(A94,通讯录!A:H,6,FALSE)),"",VLOOKUP(A94,通讯录!A:H,6,FALSE))</f>
        <v/>
      </c>
    </row>
    <row r="95" spans="4:4">
      <c r="D95" s="8" t="str">
        <f>IF(ISERROR(VLOOKUP(A95,通讯录!A:H,6,FALSE)),"",VLOOKUP(A95,通讯录!A:H,6,FALSE))</f>
        <v/>
      </c>
    </row>
    <row r="96" spans="4:4">
      <c r="D96" s="8" t="str">
        <f>IF(ISERROR(VLOOKUP(A96,通讯录!A:H,6,FALSE)),"",VLOOKUP(A96,通讯录!A:H,6,FALSE))</f>
        <v/>
      </c>
    </row>
    <row r="97" spans="4:4">
      <c r="D97" s="8" t="str">
        <f>IF(ISERROR(VLOOKUP(A97,通讯录!A:H,6,FALSE)),"",VLOOKUP(A97,通讯录!A:H,6,FALSE))</f>
        <v/>
      </c>
    </row>
    <row r="98" spans="4:4">
      <c r="D98" s="8" t="str">
        <f>IF(ISERROR(VLOOKUP(A98,通讯录!A:H,6,FALSE)),"",VLOOKUP(A98,通讯录!A:H,6,FALSE))</f>
        <v/>
      </c>
    </row>
    <row r="99" spans="4:4">
      <c r="D99" s="8" t="str">
        <f>IF(ISERROR(VLOOKUP(A99,通讯录!A:H,6,FALSE)),"",VLOOKUP(A99,通讯录!A:H,6,FALSE))</f>
        <v/>
      </c>
    </row>
    <row r="100" spans="4:4">
      <c r="D100" s="8" t="str">
        <f>IF(ISERROR(VLOOKUP(A100,通讯录!A:H,6,FALSE)),"",VLOOKUP(A100,通讯录!A:H,6,FALSE))</f>
        <v/>
      </c>
    </row>
    <row r="101" spans="4:4">
      <c r="D101" s="8" t="str">
        <f>IF(ISERROR(VLOOKUP(A101,通讯录!A:H,6,FALSE)),"",VLOOKUP(A101,通讯录!A:H,6,FALSE))</f>
        <v/>
      </c>
    </row>
    <row r="102" spans="4:4">
      <c r="D102" s="8" t="str">
        <f>IF(ISERROR(VLOOKUP(A102,通讯录!A:H,6,FALSE)),"",VLOOKUP(A102,通讯录!A:H,6,FALSE))</f>
        <v/>
      </c>
    </row>
    <row r="103" spans="4:4">
      <c r="D103" s="8" t="str">
        <f>IF(ISERROR(VLOOKUP(A103,通讯录!A:H,6,FALSE)),"",VLOOKUP(A103,通讯录!A:H,6,FALSE))</f>
        <v/>
      </c>
    </row>
    <row r="104" spans="4:4">
      <c r="D104" s="8" t="str">
        <f>IF(ISERROR(VLOOKUP(A104,通讯录!A:H,6,FALSE)),"",VLOOKUP(A104,通讯录!A:H,6,FALSE))</f>
        <v/>
      </c>
    </row>
    <row r="105" spans="4:4">
      <c r="D105" s="8" t="str">
        <f>IF(ISERROR(VLOOKUP(A105,通讯录!A:H,6,FALSE)),"",VLOOKUP(A105,通讯录!A:H,6,FALSE))</f>
        <v/>
      </c>
    </row>
    <row r="106" spans="4:4">
      <c r="D106" s="8" t="str">
        <f>IF(ISERROR(VLOOKUP(A106,通讯录!A:H,6,FALSE)),"",VLOOKUP(A106,通讯录!A:H,6,FALSE))</f>
        <v/>
      </c>
    </row>
    <row r="107" spans="4:4">
      <c r="D107" s="8" t="str">
        <f>IF(ISERROR(VLOOKUP(A107,通讯录!A:H,6,FALSE)),"",VLOOKUP(A107,通讯录!A:H,6,FALSE))</f>
        <v/>
      </c>
    </row>
    <row r="108" spans="4:4">
      <c r="D108" s="8" t="str">
        <f>IF(ISERROR(VLOOKUP(A108,通讯录!A:H,6,FALSE)),"",VLOOKUP(A108,通讯录!A:H,6,FALSE))</f>
        <v/>
      </c>
    </row>
    <row r="109" spans="4:4">
      <c r="D109" s="8" t="str">
        <f>IF(ISERROR(VLOOKUP(A109,通讯录!A:H,6,FALSE)),"",VLOOKUP(A109,通讯录!A:H,6,FALSE))</f>
        <v/>
      </c>
    </row>
    <row r="110" spans="4:4">
      <c r="D110" s="8" t="str">
        <f>IF(ISERROR(VLOOKUP(A110,通讯录!A:H,6,FALSE)),"",VLOOKUP(A110,通讯录!A:H,6,FALSE))</f>
        <v/>
      </c>
    </row>
    <row r="111" spans="4:4">
      <c r="D111" s="8" t="str">
        <f>IF(ISERROR(VLOOKUP(A111,通讯录!A:H,6,FALSE)),"",VLOOKUP(A111,通讯录!A:H,6,FALSE))</f>
        <v/>
      </c>
    </row>
    <row r="112" spans="4:4">
      <c r="D112" s="8" t="str">
        <f>IF(ISERROR(VLOOKUP(A112,通讯录!A:H,6,FALSE)),"",VLOOKUP(A112,通讯录!A:H,6,FALSE))</f>
        <v/>
      </c>
    </row>
    <row r="113" spans="4:4">
      <c r="D113" s="8" t="str">
        <f>IF(ISERROR(VLOOKUP(A113,通讯录!A:H,6,FALSE)),"",VLOOKUP(A113,通讯录!A:H,6,FALSE))</f>
        <v/>
      </c>
    </row>
    <row r="114" spans="4:4">
      <c r="D114" s="8" t="str">
        <f>IF(ISERROR(VLOOKUP(A114,通讯录!A:H,6,FALSE)),"",VLOOKUP(A114,通讯录!A:H,6,FALSE))</f>
        <v/>
      </c>
    </row>
    <row r="115" spans="4:4">
      <c r="D115" s="8" t="str">
        <f>IF(ISERROR(VLOOKUP(A115,通讯录!A:H,6,FALSE)),"",VLOOKUP(A115,通讯录!A:H,6,FALSE))</f>
        <v/>
      </c>
    </row>
    <row r="116" spans="4:4">
      <c r="D116" s="8" t="str">
        <f>IF(ISERROR(VLOOKUP(A116,通讯录!A:H,6,FALSE)),"",VLOOKUP(A116,通讯录!A:H,6,FALSE))</f>
        <v/>
      </c>
    </row>
    <row r="117" spans="4:4">
      <c r="D117" s="8" t="str">
        <f>IF(ISERROR(VLOOKUP(A117,通讯录!A:H,6,FALSE)),"",VLOOKUP(A117,通讯录!A:H,6,FALSE))</f>
        <v/>
      </c>
    </row>
    <row r="118" spans="4:4">
      <c r="D118" s="8" t="str">
        <f>IF(ISERROR(VLOOKUP(A118,通讯录!A:H,6,FALSE)),"",VLOOKUP(A118,通讯录!A:H,6,FALSE))</f>
        <v/>
      </c>
    </row>
    <row r="119" spans="4:4">
      <c r="D119" s="8" t="str">
        <f>IF(ISERROR(VLOOKUP(A119,通讯录!A:H,6,FALSE)),"",VLOOKUP(A119,通讯录!A:H,6,FALSE))</f>
        <v/>
      </c>
    </row>
    <row r="120" spans="4:4">
      <c r="D120" s="8" t="str">
        <f>IF(ISERROR(VLOOKUP(A120,通讯录!A:H,6,FALSE)),"",VLOOKUP(A120,通讯录!A:H,6,FALSE))</f>
        <v/>
      </c>
    </row>
    <row r="121" spans="4:4">
      <c r="D121" s="8" t="str">
        <f>IF(ISERROR(VLOOKUP(A121,通讯录!A:H,6,FALSE)),"",VLOOKUP(A121,通讯录!A:H,6,FALSE))</f>
        <v/>
      </c>
    </row>
    <row r="122" spans="4:4">
      <c r="D122" s="8" t="str">
        <f>IF(ISERROR(VLOOKUP(A122,通讯录!A:H,6,FALSE)),"",VLOOKUP(A122,通讯录!A:H,6,FALSE))</f>
        <v/>
      </c>
    </row>
    <row r="123" spans="4:4">
      <c r="D123" s="8" t="str">
        <f>IF(ISERROR(VLOOKUP(A123,通讯录!A:H,6,FALSE)),"",VLOOKUP(A123,通讯录!A:H,6,FALSE))</f>
        <v/>
      </c>
    </row>
    <row r="124" spans="4:4">
      <c r="D124" s="8" t="str">
        <f>IF(ISERROR(VLOOKUP(A124,通讯录!A:H,6,FALSE)),"",VLOOKUP(A124,通讯录!A:H,6,FALSE))</f>
        <v/>
      </c>
    </row>
    <row r="125" spans="4:4">
      <c r="D125" s="8" t="str">
        <f>IF(ISERROR(VLOOKUP(A125,通讯录!A:H,6,FALSE)),"",VLOOKUP(A125,通讯录!A:H,6,FALSE))</f>
        <v/>
      </c>
    </row>
    <row r="126" spans="4:4">
      <c r="D126" s="8" t="str">
        <f>IF(ISERROR(VLOOKUP(A126,通讯录!A:H,6,FALSE)),"",VLOOKUP(A126,通讯录!A:H,6,FALSE))</f>
        <v/>
      </c>
    </row>
    <row r="127" spans="4:4">
      <c r="D127" s="8" t="str">
        <f>IF(ISERROR(VLOOKUP(A127,通讯录!A:H,6,FALSE)),"",VLOOKUP(A127,通讯录!A:H,6,FALSE))</f>
        <v/>
      </c>
    </row>
    <row r="128" spans="4:4">
      <c r="D128" s="8" t="str">
        <f>IF(ISERROR(VLOOKUP(A128,通讯录!A:H,6,FALSE)),"",VLOOKUP(A128,通讯录!A:H,6,FALSE))</f>
        <v/>
      </c>
    </row>
    <row r="129" spans="4:4">
      <c r="D129" s="8" t="str">
        <f>IF(ISERROR(VLOOKUP(A129,通讯录!A:H,6,FALSE)),"",VLOOKUP(A129,通讯录!A:H,6,FALSE))</f>
        <v/>
      </c>
    </row>
    <row r="130" spans="4:4">
      <c r="D130" s="8" t="str">
        <f>IF(ISERROR(VLOOKUP(A130,通讯录!A:H,6,FALSE)),"",VLOOKUP(A130,通讯录!A:H,6,FALSE))</f>
        <v/>
      </c>
    </row>
    <row r="131" spans="4:4">
      <c r="D131" s="8" t="str">
        <f>IF(ISERROR(VLOOKUP(A131,通讯录!A:H,6,FALSE)),"",VLOOKUP(A131,通讯录!A:H,6,FALSE))</f>
        <v/>
      </c>
    </row>
    <row r="132" spans="4:4">
      <c r="D132" s="8" t="str">
        <f>IF(ISERROR(VLOOKUP(A132,通讯录!A:H,6,FALSE)),"",VLOOKUP(A132,通讯录!A:H,6,FALSE))</f>
        <v/>
      </c>
    </row>
    <row r="133" spans="4:4">
      <c r="D133" s="8" t="str">
        <f>IF(ISERROR(VLOOKUP(A133,通讯录!A:H,6,FALSE)),"",VLOOKUP(A133,通讯录!A:H,6,FALSE))</f>
        <v/>
      </c>
    </row>
    <row r="134" spans="4:4">
      <c r="D134" s="8" t="str">
        <f>IF(ISERROR(VLOOKUP(A134,通讯录!A:H,6,FALSE)),"",VLOOKUP(A134,通讯录!A:H,6,FALSE))</f>
        <v/>
      </c>
    </row>
    <row r="135" spans="4:4">
      <c r="D135" s="8" t="str">
        <f>IF(ISERROR(VLOOKUP(A135,通讯录!A:H,6,FALSE)),"",VLOOKUP(A135,通讯录!A:H,6,FALSE))</f>
        <v/>
      </c>
    </row>
    <row r="136" spans="4:4">
      <c r="D136" s="8" t="str">
        <f>IF(ISERROR(VLOOKUP(A136,通讯录!A:H,6,FALSE)),"",VLOOKUP(A136,通讯录!A:H,6,FALSE))</f>
        <v/>
      </c>
    </row>
    <row r="137" spans="4:4">
      <c r="D137" s="8" t="str">
        <f>IF(ISERROR(VLOOKUP(A137,通讯录!A:H,6,FALSE)),"",VLOOKUP(A137,通讯录!A:H,6,FALSE))</f>
        <v/>
      </c>
    </row>
    <row r="138" spans="4:4">
      <c r="D138" s="8" t="str">
        <f>IF(ISERROR(VLOOKUP(A138,通讯录!A:H,6,FALSE)),"",VLOOKUP(A138,通讯录!A:H,6,FALSE))</f>
        <v/>
      </c>
    </row>
    <row r="139" spans="4:4">
      <c r="D139" s="8" t="str">
        <f>IF(ISERROR(VLOOKUP(A139,通讯录!A:H,6,FALSE)),"",VLOOKUP(A139,通讯录!A:H,6,FALSE))</f>
        <v/>
      </c>
    </row>
    <row r="140" spans="4:4">
      <c r="D140" s="8" t="str">
        <f>IF(ISERROR(VLOOKUP(A140,通讯录!A:H,6,FALSE)),"",VLOOKUP(A140,通讯录!A:H,6,FALSE))</f>
        <v/>
      </c>
    </row>
    <row r="141" spans="4:4">
      <c r="D141" s="8" t="str">
        <f>IF(ISERROR(VLOOKUP(A141,通讯录!A:H,6,FALSE)),"",VLOOKUP(A141,通讯录!A:H,6,FALSE))</f>
        <v/>
      </c>
    </row>
    <row r="142" spans="4:4">
      <c r="D142" s="8" t="str">
        <f>IF(ISERROR(VLOOKUP(A142,通讯录!A:H,6,FALSE)),"",VLOOKUP(A142,通讯录!A:H,6,FALSE))</f>
        <v/>
      </c>
    </row>
    <row r="143" spans="4:4">
      <c r="D143" s="8" t="str">
        <f>IF(ISERROR(VLOOKUP(A143,通讯录!A:H,6,FALSE)),"",VLOOKUP(A143,通讯录!A:H,6,FALSE))</f>
        <v/>
      </c>
    </row>
    <row r="144" spans="4:4">
      <c r="D144" s="8" t="str">
        <f>IF(ISERROR(VLOOKUP(A144,通讯录!A:H,6,FALSE)),"",VLOOKUP(A144,通讯录!A:H,6,FALSE))</f>
        <v/>
      </c>
    </row>
    <row r="145" spans="4:4">
      <c r="D145" s="8" t="str">
        <f>IF(ISERROR(VLOOKUP(A145,通讯录!A:H,6,FALSE)),"",VLOOKUP(A145,通讯录!A:H,6,FALSE))</f>
        <v/>
      </c>
    </row>
    <row r="146" spans="4:4">
      <c r="D146" s="8" t="str">
        <f>IF(ISERROR(VLOOKUP(A146,通讯录!A:H,6,FALSE)),"",VLOOKUP(A146,通讯录!A:H,6,FALSE))</f>
        <v/>
      </c>
    </row>
    <row r="147" spans="4:4">
      <c r="D147" s="8" t="str">
        <f>IF(ISERROR(VLOOKUP(A147,通讯录!A:H,6,FALSE)),"",VLOOKUP(A147,通讯录!A:H,6,FALSE))</f>
        <v/>
      </c>
    </row>
    <row r="148" spans="4:4">
      <c r="D148" s="8" t="str">
        <f>IF(ISERROR(VLOOKUP(A148,通讯录!A:H,6,FALSE)),"",VLOOKUP(A148,通讯录!A:H,6,FALSE))</f>
        <v/>
      </c>
    </row>
    <row r="149" spans="4:4">
      <c r="D149" s="8" t="str">
        <f>IF(ISERROR(VLOOKUP(A149,通讯录!A:H,6,FALSE)),"",VLOOKUP(A149,通讯录!A:H,6,FALSE))</f>
        <v/>
      </c>
    </row>
    <row r="150" spans="4:4">
      <c r="D150" s="8" t="str">
        <f>IF(ISERROR(VLOOKUP(A150,通讯录!A:H,6,FALSE)),"",VLOOKUP(A150,通讯录!A:H,6,FALSE))</f>
        <v/>
      </c>
    </row>
    <row r="151" spans="4:4">
      <c r="D151" s="8" t="str">
        <f>IF(ISERROR(VLOOKUP(A151,通讯录!A:H,6,FALSE)),"",VLOOKUP(A151,通讯录!A:H,6,FALSE))</f>
        <v/>
      </c>
    </row>
    <row r="152" spans="4:4">
      <c r="D152" s="8" t="str">
        <f>IF(ISERROR(VLOOKUP(A152,通讯录!A:H,6,FALSE)),"",VLOOKUP(A152,通讯录!A:H,6,FALSE))</f>
        <v/>
      </c>
    </row>
    <row r="153" spans="4:4">
      <c r="D153" s="8" t="str">
        <f>IF(ISERROR(VLOOKUP(A153,通讯录!A:H,6,FALSE)),"",VLOOKUP(A153,通讯录!A:H,6,FALSE))</f>
        <v/>
      </c>
    </row>
    <row r="154" spans="4:4">
      <c r="D154" s="8" t="str">
        <f>IF(ISERROR(VLOOKUP(A154,通讯录!A:H,6,FALSE)),"",VLOOKUP(A154,通讯录!A:H,6,FALSE))</f>
        <v/>
      </c>
    </row>
    <row r="155" spans="4:4">
      <c r="D155" s="8" t="str">
        <f>IF(ISERROR(VLOOKUP(A155,通讯录!A:H,6,FALSE)),"",VLOOKUP(A155,通讯录!A:H,6,FALSE))</f>
        <v/>
      </c>
    </row>
    <row r="156" spans="4:4">
      <c r="D156" s="8" t="str">
        <f>IF(ISERROR(VLOOKUP(A156,通讯录!A:H,6,FALSE)),"",VLOOKUP(A156,通讯录!A:H,6,FALSE))</f>
        <v/>
      </c>
    </row>
    <row r="157" spans="4:4">
      <c r="D157" s="8" t="str">
        <f>IF(ISERROR(VLOOKUP(A157,通讯录!A:H,6,FALSE)),"",VLOOKUP(A157,通讯录!A:H,6,FALSE))</f>
        <v/>
      </c>
    </row>
    <row r="158" spans="4:4">
      <c r="D158" s="8" t="str">
        <f>IF(ISERROR(VLOOKUP(A158,通讯录!A:H,6,FALSE)),"",VLOOKUP(A158,通讯录!A:H,6,FALSE))</f>
        <v/>
      </c>
    </row>
    <row r="159" spans="4:4">
      <c r="D159" s="8" t="str">
        <f>IF(ISERROR(VLOOKUP(A159,通讯录!A:H,6,FALSE)),"",VLOOKUP(A159,通讯录!A:H,6,FALSE))</f>
        <v/>
      </c>
    </row>
    <row r="160" spans="4:4">
      <c r="D160" s="8" t="str">
        <f>IF(ISERROR(VLOOKUP(A160,通讯录!A:H,6,FALSE)),"",VLOOKUP(A160,通讯录!A:H,6,FALSE))</f>
        <v/>
      </c>
    </row>
    <row r="161" spans="4:4">
      <c r="D161" s="8" t="str">
        <f>IF(ISERROR(VLOOKUP(A161,通讯录!A:H,6,FALSE)),"",VLOOKUP(A161,通讯录!A:H,6,FALSE))</f>
        <v/>
      </c>
    </row>
    <row r="162" spans="4:4">
      <c r="D162" s="8" t="str">
        <f>IF(ISERROR(VLOOKUP(A162,通讯录!A:H,6,FALSE)),"",VLOOKUP(A162,通讯录!A:H,6,FALSE))</f>
        <v/>
      </c>
    </row>
    <row r="163" spans="4:4">
      <c r="D163" s="8" t="str">
        <f>IF(ISERROR(VLOOKUP(A163,通讯录!A:H,6,FALSE)),"",VLOOKUP(A163,通讯录!A:H,6,FALSE))</f>
        <v/>
      </c>
    </row>
    <row r="164" spans="4:4">
      <c r="D164" s="8" t="str">
        <f>IF(ISERROR(VLOOKUP(A164,通讯录!A:H,6,FALSE)),"",VLOOKUP(A164,通讯录!A:H,6,FALSE))</f>
        <v/>
      </c>
    </row>
    <row r="165" spans="4:4">
      <c r="D165" s="8" t="str">
        <f>IF(ISERROR(VLOOKUP(A165,通讯录!A:H,6,FALSE)),"",VLOOKUP(A165,通讯录!A:H,6,FALSE))</f>
        <v/>
      </c>
    </row>
    <row r="166" spans="4:4">
      <c r="D166" s="8" t="str">
        <f>IF(ISERROR(VLOOKUP(A166,通讯录!A:H,6,FALSE)),"",VLOOKUP(A166,通讯录!A:H,6,FALSE))</f>
        <v/>
      </c>
    </row>
    <row r="167" spans="4:4">
      <c r="D167" s="8" t="str">
        <f>IF(ISERROR(VLOOKUP(A167,通讯录!A:H,6,FALSE)),"",VLOOKUP(A167,通讯录!A:H,6,FALSE))</f>
        <v/>
      </c>
    </row>
    <row r="168" spans="4:4">
      <c r="D168" s="8" t="str">
        <f>IF(ISERROR(VLOOKUP(A168,通讯录!A:H,6,FALSE)),"",VLOOKUP(A168,通讯录!A:H,6,FALSE))</f>
        <v/>
      </c>
    </row>
    <row r="169" spans="4:4">
      <c r="D169" s="8" t="str">
        <f>IF(ISERROR(VLOOKUP(A169,通讯录!A:H,6,FALSE)),"",VLOOKUP(A169,通讯录!A:H,6,FALSE))</f>
        <v/>
      </c>
    </row>
    <row r="170" spans="4:4">
      <c r="D170" s="8" t="str">
        <f>IF(ISERROR(VLOOKUP(A170,通讯录!A:H,6,FALSE)),"",VLOOKUP(A170,通讯录!A:H,6,FALSE))</f>
        <v/>
      </c>
    </row>
    <row r="171" spans="4:4">
      <c r="D171" s="8" t="str">
        <f>IF(ISERROR(VLOOKUP(A171,通讯录!A:H,6,FALSE)),"",VLOOKUP(A171,通讯录!A:H,6,FALSE))</f>
        <v/>
      </c>
    </row>
    <row r="172" spans="4:4">
      <c r="D172" s="8" t="str">
        <f>IF(ISERROR(VLOOKUP(A172,通讯录!A:H,6,FALSE)),"",VLOOKUP(A172,通讯录!A:H,6,FALSE))</f>
        <v/>
      </c>
    </row>
    <row r="173" spans="4:4">
      <c r="D173" s="8" t="str">
        <f>IF(ISERROR(VLOOKUP(A173,通讯录!A:H,6,FALSE)),"",VLOOKUP(A173,通讯录!A:H,6,FALSE))</f>
        <v/>
      </c>
    </row>
    <row r="174" spans="4:4">
      <c r="D174" s="8" t="str">
        <f>IF(ISERROR(VLOOKUP(A174,通讯录!A:H,6,FALSE)),"",VLOOKUP(A174,通讯录!A:H,6,FALSE))</f>
        <v/>
      </c>
    </row>
    <row r="175" spans="4:4">
      <c r="D175" s="8" t="str">
        <f>IF(ISERROR(VLOOKUP(A175,通讯录!A:H,6,FALSE)),"",VLOOKUP(A175,通讯录!A:H,6,FALSE))</f>
        <v/>
      </c>
    </row>
    <row r="176" spans="4:4">
      <c r="D176" s="8" t="str">
        <f>IF(ISERROR(VLOOKUP(A176,通讯录!A:H,6,FALSE)),"",VLOOKUP(A176,通讯录!A:H,6,FALSE))</f>
        <v/>
      </c>
    </row>
    <row r="177" spans="4:4">
      <c r="D177" s="8" t="str">
        <f>IF(ISERROR(VLOOKUP(A177,通讯录!A:H,6,FALSE)),"",VLOOKUP(A177,通讯录!A:H,6,FALSE))</f>
        <v/>
      </c>
    </row>
    <row r="178" spans="4:4">
      <c r="D178" s="8" t="str">
        <f>IF(ISERROR(VLOOKUP(A178,通讯录!A:H,6,FALSE)),"",VLOOKUP(A178,通讯录!A:H,6,FALSE))</f>
        <v/>
      </c>
    </row>
    <row r="179" spans="4:4">
      <c r="D179" s="8" t="str">
        <f>IF(ISERROR(VLOOKUP(A179,通讯录!A:H,6,FALSE)),"",VLOOKUP(A179,通讯录!A:H,6,FALSE))</f>
        <v/>
      </c>
    </row>
    <row r="180" spans="4:4">
      <c r="D180" s="8" t="str">
        <f>IF(ISERROR(VLOOKUP(A180,通讯录!A:H,6,FALSE)),"",VLOOKUP(A180,通讯录!A:H,6,FALSE))</f>
        <v/>
      </c>
    </row>
    <row r="181" spans="4:4">
      <c r="D181" s="8" t="str">
        <f>IF(ISERROR(VLOOKUP(A181,通讯录!A:H,6,FALSE)),"",VLOOKUP(A181,通讯录!A:H,6,FALSE))</f>
        <v/>
      </c>
    </row>
    <row r="182" spans="4:4">
      <c r="D182" s="8" t="str">
        <f>IF(ISERROR(VLOOKUP(A182,通讯录!A:H,6,FALSE)),"",VLOOKUP(A182,通讯录!A:H,6,FALSE))</f>
        <v/>
      </c>
    </row>
    <row r="183" spans="4:4">
      <c r="D183" s="8" t="str">
        <f>IF(ISERROR(VLOOKUP(A183,通讯录!A:H,6,FALSE)),"",VLOOKUP(A183,通讯录!A:H,6,FALSE))</f>
        <v/>
      </c>
    </row>
    <row r="184" spans="4:4">
      <c r="D184" s="8" t="str">
        <f>IF(ISERROR(VLOOKUP(A184,通讯录!A:H,6,FALSE)),"",VLOOKUP(A184,通讯录!A:H,6,FALSE))</f>
        <v/>
      </c>
    </row>
    <row r="185" spans="4:4">
      <c r="D185" s="8" t="str">
        <f>IF(ISERROR(VLOOKUP(A185,通讯录!A:H,6,FALSE)),"",VLOOKUP(A185,通讯录!A:H,6,FALSE))</f>
        <v/>
      </c>
    </row>
  </sheetData>
  <mergeCells count="1">
    <mergeCell ref="B1:D1"/>
  </mergeCells>
  <phoneticPr fontId="2" type="noConversion"/>
  <dataValidations count="1">
    <dataValidation type="list" allowBlank="1" showInputMessage="1" showErrorMessage="1" sqref="J1">
      <formula1>"QQ粘贴并回车.vbs,发QQ消息可用.vbs"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tofirst">
                <anchor>
                  <from>
                    <xdr:col>3</xdr:col>
                    <xdr:colOff>167640</xdr:colOff>
                    <xdr:row>0</xdr:row>
                    <xdr:rowOff>0</xdr:rowOff>
                  </from>
                  <to>
                    <xdr:col>3</xdr:col>
                    <xdr:colOff>838200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批量发送_Click">
                <anchor>
                  <from>
                    <xdr:col>4</xdr:col>
                    <xdr:colOff>236220</xdr:colOff>
                    <xdr:row>0</xdr:row>
                    <xdr:rowOff>0</xdr:rowOff>
                  </from>
                  <to>
                    <xdr:col>5</xdr:col>
                    <xdr:colOff>7620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批量替换并生成文件">
                <anchor>
                  <from>
                    <xdr:col>5</xdr:col>
                    <xdr:colOff>274320</xdr:colOff>
                    <xdr:row>0</xdr:row>
                    <xdr:rowOff>0</xdr:rowOff>
                  </from>
                  <to>
                    <xdr:col>5</xdr:col>
                    <xdr:colOff>952500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D33"/>
  <sheetViews>
    <sheetView tabSelected="1" workbookViewId="0">
      <selection activeCell="B20" sqref="B20"/>
    </sheetView>
  </sheetViews>
  <sheetFormatPr defaultRowHeight="14.4"/>
  <cols>
    <col min="1" max="1" width="9.33203125" customWidth="1"/>
    <col min="2" max="2" width="15.109375" customWidth="1"/>
    <col min="3" max="3" width="17.109375" customWidth="1"/>
    <col min="6" max="6" width="20.109375" customWidth="1"/>
  </cols>
  <sheetData>
    <row r="1" spans="1:4">
      <c r="A1" t="s">
        <v>69</v>
      </c>
      <c r="B1" s="10" t="s">
        <v>15</v>
      </c>
      <c r="C1" s="12"/>
      <c r="D1" s="13"/>
    </row>
    <row r="2" spans="1:4" ht="15" thickBot="1">
      <c r="A2" s="8" t="s">
        <v>70</v>
      </c>
      <c r="B2" s="21" t="s">
        <v>53</v>
      </c>
      <c r="C2" s="27"/>
      <c r="D2" s="23"/>
    </row>
    <row r="3" spans="1:4" ht="15" thickBot="1">
      <c r="A3" s="8" t="s">
        <v>71</v>
      </c>
      <c r="B3" s="14" t="s">
        <v>17</v>
      </c>
      <c r="C3" s="12"/>
      <c r="D3" s="27"/>
    </row>
    <row r="4" spans="1:4">
      <c r="A4" s="8" t="s">
        <v>72</v>
      </c>
      <c r="B4" s="14" t="s">
        <v>20</v>
      </c>
      <c r="C4" s="12"/>
      <c r="D4" s="27"/>
    </row>
    <row r="5" spans="1:4">
      <c r="A5" s="8" t="s">
        <v>73</v>
      </c>
      <c r="B5" s="14" t="s">
        <v>23</v>
      </c>
      <c r="C5" s="28"/>
      <c r="D5" s="48"/>
    </row>
    <row r="6" spans="1:4">
      <c r="A6" s="8" t="s">
        <v>74</v>
      </c>
      <c r="B6" s="14" t="s">
        <v>25</v>
      </c>
      <c r="C6" s="28"/>
    </row>
    <row r="7" spans="1:4">
      <c r="A7" s="8" t="s">
        <v>75</v>
      </c>
      <c r="B7" s="14" t="s">
        <v>27</v>
      </c>
      <c r="C7" s="52"/>
    </row>
    <row r="8" spans="1:4">
      <c r="A8" s="8" t="s">
        <v>76</v>
      </c>
    </row>
    <row r="9" spans="1:4">
      <c r="A9" s="8" t="s">
        <v>77</v>
      </c>
      <c r="B9" s="56" t="s">
        <v>102</v>
      </c>
    </row>
    <row r="10" spans="1:4">
      <c r="A10" s="8" t="s">
        <v>78</v>
      </c>
      <c r="B10" s="59" t="s">
        <v>66</v>
      </c>
      <c r="C10" s="59"/>
    </row>
    <row r="11" spans="1:4">
      <c r="A11" s="8" t="s">
        <v>79</v>
      </c>
      <c r="B11" s="59" t="s">
        <v>67</v>
      </c>
      <c r="C11" s="59"/>
    </row>
    <row r="12" spans="1:4">
      <c r="A12" s="8" t="s">
        <v>80</v>
      </c>
    </row>
    <row r="13" spans="1:4">
      <c r="A13" s="8" t="s">
        <v>81</v>
      </c>
      <c r="B13" s="56" t="s">
        <v>103</v>
      </c>
    </row>
    <row r="14" spans="1:4">
      <c r="A14" s="8" t="s">
        <v>82</v>
      </c>
      <c r="B14" s="57" t="s">
        <v>99</v>
      </c>
      <c r="C14" s="58"/>
    </row>
    <row r="15" spans="1:4">
      <c r="A15" s="8" t="s">
        <v>83</v>
      </c>
      <c r="B15" s="57" t="s">
        <v>100</v>
      </c>
      <c r="C15" s="57"/>
    </row>
    <row r="16" spans="1:4">
      <c r="A16" s="8" t="s">
        <v>84</v>
      </c>
    </row>
    <row r="17" spans="1:1">
      <c r="A17" s="8" t="s">
        <v>85</v>
      </c>
    </row>
    <row r="18" spans="1:1">
      <c r="A18" s="8" t="s">
        <v>86</v>
      </c>
    </row>
    <row r="19" spans="1:1">
      <c r="A19" s="8" t="s">
        <v>87</v>
      </c>
    </row>
    <row r="20" spans="1:1">
      <c r="A20" s="8" t="s">
        <v>88</v>
      </c>
    </row>
    <row r="21" spans="1:1">
      <c r="A21" s="8" t="s">
        <v>89</v>
      </c>
    </row>
    <row r="22" spans="1:1">
      <c r="A22" s="8" t="s">
        <v>90</v>
      </c>
    </row>
    <row r="23" spans="1:1">
      <c r="A23" s="8" t="s">
        <v>91</v>
      </c>
    </row>
    <row r="24" spans="1:1">
      <c r="A24" s="8" t="s">
        <v>92</v>
      </c>
    </row>
    <row r="25" spans="1:1">
      <c r="A25" s="8" t="s">
        <v>93</v>
      </c>
    </row>
    <row r="26" spans="1:1">
      <c r="A26" s="8" t="s">
        <v>94</v>
      </c>
    </row>
    <row r="27" spans="1:1">
      <c r="A27" s="8" t="s">
        <v>95</v>
      </c>
    </row>
    <row r="28" spans="1:1">
      <c r="A28" s="8" t="s">
        <v>96</v>
      </c>
    </row>
    <row r="29" spans="1:1">
      <c r="A29" s="8" t="s">
        <v>97</v>
      </c>
    </row>
    <row r="30" spans="1:1">
      <c r="A30" s="8" t="s">
        <v>98</v>
      </c>
    </row>
    <row r="31" spans="1:1">
      <c r="A31" s="8"/>
    </row>
    <row r="32" spans="1:1">
      <c r="A32" s="8"/>
    </row>
    <row r="33" spans="1:1">
      <c r="A33" s="8"/>
    </row>
  </sheetData>
  <phoneticPr fontId="2" type="noConversion"/>
  <conditionalFormatting sqref="B2">
    <cfRule type="containsText" dxfId="5" priority="1" operator="containsText" text=" ">
      <formula>NOT(ISERROR(SEARCH(" ",B2)))</formula>
    </cfRule>
  </conditionalFormatting>
  <conditionalFormatting sqref="B1">
    <cfRule type="containsText" dxfId="4" priority="4" operator="containsText" text=" ">
      <formula>NOT(ISERROR(SEARCH(" ",B1)))</formula>
    </cfRule>
    <cfRule type="containsText" dxfId="3" priority="5" operator="containsText" text=" ">
      <formula>NOT(ISERROR(SEARCH(" ",B1)))</formula>
    </cfRule>
    <cfRule type="containsText" dxfId="2" priority="6" operator="containsText" text=" ">
      <formula>NOT(ISERROR(SEARCH(" ",B1)))</formula>
    </cfRule>
  </conditionalFormatting>
  <conditionalFormatting sqref="C1">
    <cfRule type="containsText" dxfId="1" priority="8" operator="containsText" text=" ">
      <formula>NOT(ISERROR(SEARCH(" ",C1)))</formula>
    </cfRule>
  </conditionalFormatting>
  <conditionalFormatting sqref="D1">
    <cfRule type="containsText" dxfId="0" priority="7" operator="containsText" text=" ">
      <formula>NOT(ISERROR(SEARCH(" ",D1)))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7"/>
  <sheetViews>
    <sheetView workbookViewId="0">
      <selection activeCell="B16" sqref="B16"/>
    </sheetView>
  </sheetViews>
  <sheetFormatPr defaultRowHeight="14.4"/>
  <cols>
    <col min="1" max="1" width="29.88671875" customWidth="1"/>
    <col min="2" max="2" width="84" customWidth="1"/>
  </cols>
  <sheetData>
    <row r="1" spans="1:2">
      <c r="A1" t="s">
        <v>121</v>
      </c>
    </row>
    <row r="2" spans="1:2" ht="22.05" customHeight="1">
      <c r="A2" t="s">
        <v>122</v>
      </c>
      <c r="B2" s="63" t="s">
        <v>128</v>
      </c>
    </row>
    <row r="3" spans="1:2" ht="22.05" customHeight="1">
      <c r="A3" t="s">
        <v>123</v>
      </c>
      <c r="B3" s="63" t="s">
        <v>129</v>
      </c>
    </row>
    <row r="4" spans="1:2" ht="22.05" customHeight="1">
      <c r="A4" t="s">
        <v>125</v>
      </c>
      <c r="B4" s="63" t="s">
        <v>130</v>
      </c>
    </row>
    <row r="5" spans="1:2" ht="22.05" customHeight="1">
      <c r="A5" s="8" t="s">
        <v>126</v>
      </c>
      <c r="B5" s="63" t="s">
        <v>131</v>
      </c>
    </row>
    <row r="6" spans="1:2" ht="22.05" customHeight="1">
      <c r="A6" s="8" t="s">
        <v>124</v>
      </c>
      <c r="B6" s="63" t="s">
        <v>132</v>
      </c>
    </row>
    <row r="7" spans="1:2" ht="22.05" customHeight="1">
      <c r="A7" s="8" t="s">
        <v>127</v>
      </c>
      <c r="B7" s="63" t="s">
        <v>133</v>
      </c>
    </row>
    <row r="8" spans="1:2" ht="22.05" customHeight="1">
      <c r="B8" s="63"/>
    </row>
    <row r="9" spans="1:2" ht="22.05" customHeight="1">
      <c r="B9" s="63"/>
    </row>
    <row r="10" spans="1:2" ht="22.05" customHeight="1">
      <c r="B10" s="63"/>
    </row>
    <row r="11" spans="1:2" ht="22.05" customHeight="1">
      <c r="B11" s="63"/>
    </row>
    <row r="12" spans="1:2" ht="22.05" customHeight="1">
      <c r="B12" s="63"/>
    </row>
    <row r="13" spans="1:2" ht="22.05" customHeight="1">
      <c r="B13" s="63"/>
    </row>
    <row r="14" spans="1:2" ht="22.05" customHeight="1">
      <c r="B14" s="63"/>
    </row>
    <row r="15" spans="1:2" ht="22.05" customHeight="1">
      <c r="B15" s="63"/>
    </row>
    <row r="16" spans="1:2" ht="22.05" customHeight="1">
      <c r="B16" s="63"/>
    </row>
    <row r="17" spans="2:2" ht="22.05" customHeight="1">
      <c r="B17" s="6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31</vt:i4>
      </vt:variant>
    </vt:vector>
  </HeadingPairs>
  <TitlesOfParts>
    <vt:vector size="38" baseType="lpstr">
      <vt:lpstr>通讯录</vt:lpstr>
      <vt:lpstr>QQ消息</vt:lpstr>
      <vt:lpstr>微信</vt:lpstr>
      <vt:lpstr>高校通</vt:lpstr>
      <vt:lpstr>邮件</vt:lpstr>
      <vt:lpstr>密码区</vt:lpstr>
      <vt:lpstr>常用代码</vt:lpstr>
      <vt:lpstr>通讯录!ExternalData_1000</vt:lpstr>
      <vt:lpstr>通讯录!ExternalData_1001</vt:lpstr>
      <vt:lpstr>通讯录!ExternalData_1002</vt:lpstr>
      <vt:lpstr>通讯录!ExternalData_1003</vt:lpstr>
      <vt:lpstr>通讯录!ExternalData_1004</vt:lpstr>
      <vt:lpstr>通讯录!ExternalData_1005</vt:lpstr>
      <vt:lpstr>通讯录!ExternalData_1006</vt:lpstr>
      <vt:lpstr>通讯录!ExternalData_1007</vt:lpstr>
      <vt:lpstr>通讯录!ExternalData_1008</vt:lpstr>
      <vt:lpstr>通讯录!ExternalData_1009</vt:lpstr>
      <vt:lpstr>通讯录!ExternalData_1010</vt:lpstr>
      <vt:lpstr>通讯录!ExternalData_1011</vt:lpstr>
      <vt:lpstr>通讯录!ExternalData_1012</vt:lpstr>
      <vt:lpstr>通讯录!ExternalData_1013</vt:lpstr>
      <vt:lpstr>通讯录!ExternalData_1014</vt:lpstr>
      <vt:lpstr>通讯录!ExternalData_1015</vt:lpstr>
      <vt:lpstr>通讯录!ExternalData_1016</vt:lpstr>
      <vt:lpstr>通讯录!ExternalData_1017</vt:lpstr>
      <vt:lpstr>通讯录!ExternalData_1018</vt:lpstr>
      <vt:lpstr>通讯录!ExternalData_1019</vt:lpstr>
      <vt:lpstr>通讯录!ExternalData_989</vt:lpstr>
      <vt:lpstr>通讯录!ExternalData_990</vt:lpstr>
      <vt:lpstr>通讯录!ExternalData_991</vt:lpstr>
      <vt:lpstr>通讯录!ExternalData_992</vt:lpstr>
      <vt:lpstr>通讯录!ExternalData_993</vt:lpstr>
      <vt:lpstr>通讯录!ExternalData_994</vt:lpstr>
      <vt:lpstr>通讯录!ExternalData_995</vt:lpstr>
      <vt:lpstr>通讯录!ExternalData_996</vt:lpstr>
      <vt:lpstr>通讯录!ExternalData_997</vt:lpstr>
      <vt:lpstr>通讯录!ExternalData_998</vt:lpstr>
      <vt:lpstr>通讯录!ExternalData_999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dcterms:created xsi:type="dcterms:W3CDTF">2006-09-16T00:00:00Z</dcterms:created>
  <dcterms:modified xsi:type="dcterms:W3CDTF">2020-05-13T11:46:23Z</dcterms:modified>
</cp:coreProperties>
</file>