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0" yWindow="0" windowWidth="22785" windowHeight="10365"/>
  </bookViews>
  <sheets>
    <sheet name="生成word" sheetId="4" r:id="rId1"/>
    <sheet name="批量生成" sheetId="5" r:id="rId2"/>
  </sheets>
  <functionGroups builtInGroupCount="17"/>
  <definedNames>
    <definedName name="_?a1004" localSheetId="0">生成word!#REF!</definedName>
  </definedNames>
  <calcPr calcId="145621"/>
</workbook>
</file>

<file path=xl/calcChain.xml><?xml version="1.0" encoding="utf-8"?>
<calcChain xmlns="http://schemas.openxmlformats.org/spreadsheetml/2006/main">
  <c r="B13" i="5" l="1"/>
  <c r="B12" i="5"/>
  <c r="B11" i="5"/>
  <c r="C21" i="4"/>
  <c r="C20" i="4"/>
  <c r="C3" i="4"/>
  <c r="C18" i="4" l="1"/>
  <c r="C19" i="4"/>
</calcChain>
</file>

<file path=xl/sharedStrings.xml><?xml version="1.0" encoding="utf-8"?>
<sst xmlns="http://schemas.openxmlformats.org/spreadsheetml/2006/main" count="215" uniqueCount="169">
  <si>
    <t>Word生成相应参数</t>
  </si>
  <si>
    <t>使用说明：</t>
  </si>
  <si>
    <t>模板文件名1</t>
  </si>
  <si>
    <t>扣税模板</t>
  </si>
  <si>
    <t>请使用office打开，并启用宏。（不会请百度）</t>
  </si>
  <si>
    <t>生成的文件名1</t>
  </si>
  <si>
    <t>文件名前可以加文件夹</t>
  </si>
  <si>
    <t>模板文件名2</t>
  </si>
  <si>
    <t>生成的文件名2</t>
  </si>
  <si>
    <t>模板文件名3</t>
  </si>
  <si>
    <t>生成的文件名3</t>
  </si>
  <si>
    <t>模板文件名4</t>
  </si>
  <si>
    <t>生成的文件名4</t>
  </si>
  <si>
    <t>word中要替换的值</t>
  </si>
  <si>
    <t>备注</t>
  </si>
  <si>
    <t>真实值</t>
  </si>
  <si>
    <t>数据01</t>
  </si>
  <si>
    <t>报销日期</t>
  </si>
  <si>
    <t>数据02</t>
  </si>
  <si>
    <t>汇往单位</t>
  </si>
  <si>
    <t>台州学院</t>
  </si>
  <si>
    <t>数据03</t>
  </si>
  <si>
    <t>开户银行</t>
  </si>
  <si>
    <t>数据04</t>
  </si>
  <si>
    <t>帐号</t>
  </si>
  <si>
    <t>数据05</t>
  </si>
  <si>
    <t>汇款理由</t>
  </si>
  <si>
    <t>扣税款</t>
  </si>
  <si>
    <t>数据06</t>
  </si>
  <si>
    <t>汇款金额</t>
  </si>
  <si>
    <t>350.00</t>
  </si>
  <si>
    <t>数据07</t>
  </si>
  <si>
    <t xml:space="preserve"> </t>
  </si>
  <si>
    <t>数据08</t>
  </si>
  <si>
    <t>报销年</t>
  </si>
  <si>
    <t>数据09</t>
  </si>
  <si>
    <t>报销月份</t>
  </si>
  <si>
    <t>数据10</t>
  </si>
  <si>
    <t>数据11</t>
  </si>
  <si>
    <t>报销大写</t>
  </si>
  <si>
    <t>数据12</t>
  </si>
  <si>
    <t>数据13</t>
  </si>
  <si>
    <t>数据14</t>
  </si>
  <si>
    <t>1</t>
  </si>
  <si>
    <t>数据15</t>
  </si>
  <si>
    <t>数据16</t>
  </si>
  <si>
    <t>这里的数据，建议先填写科研管理系统中的数据，再从网上导出。</t>
  </si>
  <si>
    <t>数据17</t>
  </si>
  <si>
    <t>复制第一行你所要的数据，请不要多选。</t>
  </si>
  <si>
    <t>数据18</t>
  </si>
  <si>
    <t>进利18</t>
  </si>
  <si>
    <t>定位到讲座名称后，选择性粘贴，转置，行就变成列了。</t>
  </si>
  <si>
    <t>数据19</t>
  </si>
  <si>
    <t>进利19</t>
  </si>
  <si>
    <t>数据20</t>
  </si>
  <si>
    <t>进利20</t>
  </si>
  <si>
    <t>数据21</t>
  </si>
  <si>
    <t>进利21</t>
  </si>
  <si>
    <t>数据22</t>
  </si>
  <si>
    <t>进利22</t>
  </si>
  <si>
    <t>数据23</t>
  </si>
  <si>
    <t>进利23</t>
  </si>
  <si>
    <t>数据24</t>
  </si>
  <si>
    <t>进利24</t>
  </si>
  <si>
    <t>数据25</t>
  </si>
  <si>
    <t>进利25</t>
  </si>
  <si>
    <t>数据26</t>
  </si>
  <si>
    <t>进利26</t>
  </si>
  <si>
    <t>数据27</t>
  </si>
  <si>
    <t>进利27</t>
  </si>
  <si>
    <t>数据28</t>
  </si>
  <si>
    <t>进利28</t>
  </si>
  <si>
    <t>数据29</t>
  </si>
  <si>
    <t>进利29</t>
  </si>
  <si>
    <t>数据30</t>
  </si>
  <si>
    <t>进利30</t>
  </si>
  <si>
    <t>数据31</t>
  </si>
  <si>
    <t>进利31</t>
  </si>
  <si>
    <t>数据32</t>
  </si>
  <si>
    <t>进利32</t>
  </si>
  <si>
    <t>数据33</t>
  </si>
  <si>
    <t>进利33</t>
  </si>
  <si>
    <t>数据34</t>
  </si>
  <si>
    <t>进利34</t>
  </si>
  <si>
    <t>数据35</t>
  </si>
  <si>
    <t>进利35</t>
  </si>
  <si>
    <t>数据36</t>
  </si>
  <si>
    <t>进利36</t>
  </si>
  <si>
    <t>数据37</t>
  </si>
  <si>
    <t>进利37</t>
  </si>
  <si>
    <t>数据38</t>
  </si>
  <si>
    <t>进利38</t>
  </si>
  <si>
    <t>数据39</t>
  </si>
  <si>
    <t>进利39</t>
  </si>
  <si>
    <t>数据40</t>
  </si>
  <si>
    <t>进利40</t>
  </si>
  <si>
    <t>数据41</t>
  </si>
  <si>
    <t>进利41</t>
  </si>
  <si>
    <t>数据42</t>
  </si>
  <si>
    <t>进利42</t>
  </si>
  <si>
    <t>数据43</t>
  </si>
  <si>
    <t>进利43</t>
  </si>
  <si>
    <t>数据44</t>
  </si>
  <si>
    <t>进利44</t>
  </si>
  <si>
    <t>数据45</t>
  </si>
  <si>
    <t>进利45</t>
  </si>
  <si>
    <t>数据46</t>
  </si>
  <si>
    <t>进利46</t>
  </si>
  <si>
    <t>数据47</t>
  </si>
  <si>
    <t>进利47</t>
  </si>
  <si>
    <t>数据48</t>
  </si>
  <si>
    <t>进利48</t>
  </si>
  <si>
    <t>数据49</t>
  </si>
  <si>
    <t>进利49</t>
  </si>
  <si>
    <t>数据50</t>
  </si>
  <si>
    <t>进利50</t>
  </si>
  <si>
    <t>Excel批量生成Word</t>
  </si>
  <si>
    <t>批量生成相关参数</t>
  </si>
  <si>
    <t>替换的数据个数</t>
  </si>
  <si>
    <t>可多不可少；越少越快</t>
  </si>
  <si>
    <t>建议先生成第一行测试，再批量生成</t>
  </si>
  <si>
    <t>数据行数</t>
  </si>
  <si>
    <t>可多不可少</t>
  </si>
  <si>
    <t>参数3</t>
  </si>
  <si>
    <t>参数4</t>
  </si>
  <si>
    <t>参数5</t>
  </si>
  <si>
    <t>参数6</t>
  </si>
  <si>
    <t>模板文件名</t>
  </si>
  <si>
    <t>生成文件名</t>
  </si>
  <si>
    <t>企业名称</t>
  </si>
  <si>
    <t>业务范围</t>
  </si>
  <si>
    <t>临时场所地址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</si>
  <si>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</si>
  <si>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</si>
  <si>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</si>
  <si>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</si>
  <si>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</si>
  <si>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</si>
  <si>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</si>
  <si>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</si>
  <si>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</si>
  <si>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</si>
  <si>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参数21</t>
  </si>
  <si>
    <t>参数22</t>
  </si>
  <si>
    <t>参数23</t>
  </si>
  <si>
    <t>参数24</t>
  </si>
  <si>
    <t>参数25</t>
  </si>
  <si>
    <t>参数26</t>
  </si>
  <si>
    <t>参数27</t>
  </si>
  <si>
    <t>参数28</t>
  </si>
  <si>
    <t>参数29</t>
  </si>
  <si>
    <t>参数30</t>
  </si>
  <si>
    <t>参数31</t>
  </si>
  <si>
    <t>参数32</t>
  </si>
  <si>
    <t>参数33</t>
  </si>
  <si>
    <t>参数34</t>
  </si>
  <si>
    <t>参数35</t>
  </si>
  <si>
    <t>word2</t>
  </si>
  <si>
    <t>横向1</t>
  </si>
  <si>
    <t>XXXX1</t>
  </si>
  <si>
    <t>娄5word1</t>
  </si>
  <si>
    <t>word1</t>
  </si>
  <si>
    <t>横向2</t>
  </si>
  <si>
    <t>XXXX2</t>
  </si>
  <si>
    <t>娄5word2</t>
  </si>
  <si>
    <t>word3</t>
  </si>
  <si>
    <t>横向3</t>
  </si>
  <si>
    <t>XXXX3</t>
  </si>
  <si>
    <t>娄5word3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</si>
</sst>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2"/>
      <name val="宋体"/>
      <charset val="134"/>
    </font>
    <font>
      <sz val="9"/>
      <name val="宋体"/>
      <charset val="134"/>
    </font>
    <font>
      <b/>
      <sz val="20"/>
      <name val="宋体"/>
      <charset val="134"/>
    </font>
    <font>
      <b/>
      <sz val="12"/>
      <name val="仿宋_GB2312"/>
      <charset val="134"/>
    </font>
    <font>
      <b/>
      <sz val="16"/>
      <name val="仿宋_GB2312"/>
      <charset val="134"/>
    </font>
    <font>
      <sz val="10"/>
      <name val="仿宋_GB2312"/>
      <charset val="134"/>
    </font>
    <font>
      <sz val="12"/>
      <name val="宋体"/>
      <family val="3"/>
      <charset val="134"/>
    </font>
    <font>
      <b/>
      <sz val="16"/>
      <name val="宋体"/>
      <family val="3"/>
      <charset val="134"/>
    </font>
    <font>
      <b/>
      <sz val="12"/>
      <color indexed="10"/>
      <name val="宋体"/>
      <family val="3"/>
      <charset val="134"/>
    </font>
    <font>
      <b/>
      <sz val="16"/>
      <color indexed="10"/>
      <name val="仿宋_GB2312"/>
      <charset val="134"/>
    </font>
    <font>
      <b/>
      <sz val="16"/>
      <color indexed="10"/>
      <name val="宋体"/>
      <family val="3"/>
      <charset val="134"/>
    </font>
    <font>
      <sz val="10.5"/>
      <name val="宋体"/>
      <family val="3"/>
      <charset val="134"/>
    </font>
    <font>
      <sz val="20"/>
      <color rgb="FF000000"/>
      <name val="宋体"/>
      <family val="3"/>
      <charset val="134"/>
    </font>
    <font>
      <sz val="12"/>
      <color rgb="FF000000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1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 shrinkToFit="1"/>
    </xf>
    <xf numFmtId="0" fontId="4" fillId="2" borderId="1" xfId="0" applyFont="1" applyFill="1" applyBorder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/>
    </xf>
    <xf numFmtId="0" fontId="0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5" fillId="3" borderId="0" xfId="0" applyFont="1" applyFill="1" applyBorder="1" applyAlignment="1">
      <alignment horizontal="center" vertical="center" shrinkToFit="1"/>
    </xf>
    <xf numFmtId="0" fontId="1" fillId="0" borderId="0" xfId="0" applyFont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shrinkToFit="1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 shrinkToFit="1"/>
    </xf>
    <xf numFmtId="0" fontId="7" fillId="0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2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3" xfId="0" applyFont="1" applyBorder="1">
      <alignment vertical="center"/>
    </xf>
    <xf numFmtId="0" fontId="5" fillId="0" borderId="0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5" xfId="0" applyFont="1" applyBorder="1">
      <alignment vertical="center"/>
    </xf>
    <xf numFmtId="49" fontId="5" fillId="0" borderId="6" xfId="0" applyNumberFormat="1" applyFont="1" applyFill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/>
    </xf>
    <xf numFmtId="49" fontId="5" fillId="0" borderId="4" xfId="0" applyNumberFormat="1" applyFont="1" applyFill="1" applyBorder="1" applyAlignment="1">
      <alignment horizontal="center" vertical="center" shrinkToFit="1"/>
    </xf>
    <xf numFmtId="0" fontId="8" fillId="0" borderId="0" xfId="0" applyFont="1">
      <alignment vertical="center"/>
    </xf>
    <xf numFmtId="0" fontId="0" fillId="0" borderId="3" xfId="0" applyBorder="1">
      <alignment vertical="center"/>
    </xf>
    <xf numFmtId="0" fontId="6" fillId="0" borderId="0" xfId="0" applyFont="1" applyFill="1" applyBorder="1">
      <alignment vertical="center"/>
    </xf>
    <xf numFmtId="0" fontId="6" fillId="0" borderId="0" xfId="0" applyFont="1" applyBorder="1">
      <alignment vertical="center"/>
    </xf>
    <xf numFmtId="49" fontId="6" fillId="0" borderId="4" xfId="0" quotePrefix="1" applyNumberFormat="1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shrinkToFit="1"/>
    </xf>
    <xf numFmtId="0" fontId="9" fillId="0" borderId="1" xfId="0" applyFont="1" applyFill="1" applyBorder="1" applyAlignment="1">
      <alignment horizontal="center" vertical="center" shrinkToFit="1"/>
    </xf>
    <xf numFmtId="0" fontId="2" fillId="0" borderId="2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390525</xdr:rowOff>
        </xdr:from>
        <xdr:to>
          <xdr:col>4</xdr:col>
          <xdr:colOff>485775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19050</xdr:rowOff>
        </xdr:from>
        <xdr:to>
          <xdr:col>4</xdr:col>
          <xdr:colOff>485775</xdr:colOff>
          <xdr:row>4</xdr:row>
          <xdr:rowOff>238125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495300</xdr:colOff>
          <xdr:row>7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28575</xdr:rowOff>
        </xdr:from>
        <xdr:to>
          <xdr:col>4</xdr:col>
          <xdr:colOff>514350</xdr:colOff>
          <xdr:row>8</xdr:row>
          <xdr:rowOff>238125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9525</xdr:rowOff>
        </xdr:from>
        <xdr:to>
          <xdr:col>6</xdr:col>
          <xdr:colOff>657225</xdr:colOff>
          <xdr:row>4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生成第一行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4</xdr:row>
          <xdr:rowOff>38100</xdr:rowOff>
        </xdr:from>
        <xdr:to>
          <xdr:col>6</xdr:col>
          <xdr:colOff>666750</xdr:colOff>
          <xdr:row>6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3</xdr:row>
          <xdr:rowOff>85725</xdr:rowOff>
        </xdr:from>
        <xdr:to>
          <xdr:col>9</xdr:col>
          <xdr:colOff>209550</xdr:colOff>
          <xdr:row>6</xdr:row>
          <xdr:rowOff>47625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批量生成</a:t>
              </a:r>
            </a:p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(不含文本框）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60"/>
  <sheetViews>
    <sheetView tabSelected="1" workbookViewId="0">
      <selection activeCell="C11" sqref="C11"/>
    </sheetView>
  </sheetViews>
  <sheetFormatPr defaultColWidth="9" defaultRowHeight="14.25"/>
  <cols>
    <col min="1" max="1" width="16.375" style="14" customWidth="1"/>
    <col min="2" max="2" width="11.375" style="14" customWidth="1"/>
    <col min="3" max="3" width="52.125" style="15" customWidth="1"/>
    <col min="4" max="16384" width="9" style="14"/>
  </cols>
  <sheetData>
    <row r="1" spans="1:7" s="12" customFormat="1" ht="32.25" customHeight="1">
      <c r="A1" s="40" t="s">
        <v>0</v>
      </c>
      <c r="B1" s="40"/>
      <c r="C1" s="40"/>
      <c r="G1" s="12" t="s">
        <v>1</v>
      </c>
    </row>
    <row r="2" spans="1:7" s="12" customFormat="1" ht="20.100000000000001" customHeight="1">
      <c r="A2" s="38" t="s">
        <v>2</v>
      </c>
      <c r="B2" s="38"/>
      <c r="C2" s="17" t="s">
        <v>3</v>
      </c>
      <c r="G2" s="18" t="s">
        <v>4</v>
      </c>
    </row>
    <row r="3" spans="1:7" s="12" customFormat="1" ht="20.100000000000001" customHeight="1">
      <c r="A3" s="39" t="s">
        <v>5</v>
      </c>
      <c r="B3" s="39"/>
      <c r="C3" s="19" t="str">
        <f>"生成/"&amp;C12&amp;C22&amp;"--"&amp;C2&amp;C24</f>
        <v>生成/台州学院--扣税模板1</v>
      </c>
      <c r="G3" s="20" t="s">
        <v>6</v>
      </c>
    </row>
    <row r="4" spans="1:7" s="12" customFormat="1" ht="20.100000000000001" customHeight="1">
      <c r="A4" s="38" t="s">
        <v>7</v>
      </c>
      <c r="B4" s="38"/>
      <c r="C4" s="17"/>
    </row>
    <row r="5" spans="1:7" s="12" customFormat="1" ht="20.100000000000001" customHeight="1">
      <c r="A5" s="39" t="s">
        <v>8</v>
      </c>
      <c r="B5" s="39"/>
      <c r="C5" s="19"/>
    </row>
    <row r="6" spans="1:7" s="12" customFormat="1" ht="20.100000000000001" customHeight="1">
      <c r="A6" s="38" t="s">
        <v>9</v>
      </c>
      <c r="B6" s="38"/>
      <c r="C6" s="17"/>
    </row>
    <row r="7" spans="1:7" s="12" customFormat="1" ht="20.100000000000001" customHeight="1">
      <c r="A7" s="39" t="s">
        <v>10</v>
      </c>
      <c r="B7" s="39"/>
      <c r="C7" s="19"/>
    </row>
    <row r="8" spans="1:7" s="12" customFormat="1" ht="20.100000000000001" customHeight="1">
      <c r="A8" s="38" t="s">
        <v>11</v>
      </c>
      <c r="B8" s="38"/>
      <c r="C8" s="17"/>
    </row>
    <row r="9" spans="1:7" s="12" customFormat="1" ht="20.100000000000001" customHeight="1">
      <c r="A9" s="39" t="s">
        <v>12</v>
      </c>
      <c r="B9" s="39"/>
      <c r="C9" s="19"/>
    </row>
    <row r="10" spans="1:7" s="13" customFormat="1" ht="24" customHeight="1">
      <c r="A10" s="16" t="s">
        <v>13</v>
      </c>
      <c r="B10" s="16" t="s">
        <v>14</v>
      </c>
      <c r="C10" s="16" t="s">
        <v>15</v>
      </c>
    </row>
    <row r="11" spans="1:7">
      <c r="A11" s="13" t="s">
        <v>16</v>
      </c>
      <c r="B11" s="14" t="s">
        <v>17</v>
      </c>
      <c r="C11" s="21">
        <v>342342342</v>
      </c>
    </row>
    <row r="12" spans="1:7">
      <c r="A12" s="13" t="s">
        <v>18</v>
      </c>
      <c r="B12" s="14" t="s">
        <v>19</v>
      </c>
      <c r="C12" s="22" t="s">
        <v>20</v>
      </c>
    </row>
    <row r="13" spans="1:7">
      <c r="A13" s="13" t="s">
        <v>21</v>
      </c>
      <c r="B13" s="14" t="s">
        <v>22</v>
      </c>
    </row>
    <row r="14" spans="1:7">
      <c r="A14" s="13" t="s">
        <v>23</v>
      </c>
      <c r="B14" s="14" t="s">
        <v>24</v>
      </c>
    </row>
    <row r="15" spans="1:7">
      <c r="A15" s="13" t="s">
        <v>25</v>
      </c>
      <c r="B15" s="14" t="s">
        <v>26</v>
      </c>
      <c r="C15" s="15" t="s">
        <v>27</v>
      </c>
    </row>
    <row r="16" spans="1:7">
      <c r="A16" s="13" t="s">
        <v>28</v>
      </c>
      <c r="B16" s="23" t="s">
        <v>29</v>
      </c>
      <c r="C16" s="37" t="s">
        <v>30</v>
      </c>
    </row>
    <row r="17" spans="1:7">
      <c r="A17" s="13" t="s">
        <v>31</v>
      </c>
      <c r="C17" s="15" t="s">
        <v>32</v>
      </c>
    </row>
    <row r="18" spans="1:7">
      <c r="A18" s="13" t="s">
        <v>33</v>
      </c>
      <c r="B18" s="14" t="s">
        <v>34</v>
      </c>
      <c r="C18" s="24" t="e">
        <f>YEAR($C$11)</f>
        <v>#NUM!</v>
      </c>
    </row>
    <row r="19" spans="1:7">
      <c r="A19" s="13" t="s">
        <v>35</v>
      </c>
      <c r="B19" s="14" t="s">
        <v>36</v>
      </c>
      <c r="C19" s="25" t="e">
        <f>MONTH($C$11)</f>
        <v>#NUM!</v>
      </c>
    </row>
    <row r="20" spans="1:7">
      <c r="A20" s="13" t="s">
        <v>37</v>
      </c>
      <c r="B20" s="14" t="s">
        <v>17</v>
      </c>
      <c r="C20" s="26" t="e">
        <f>DAY($C$11)</f>
        <v>#NUM!</v>
      </c>
    </row>
    <row r="21" spans="1:7">
      <c r="A21" s="13" t="s">
        <v>38</v>
      </c>
      <c r="B21" s="23" t="s">
        <v>39</v>
      </c>
      <c r="C21" s="27" t="str">
        <f>TEXT(C16*100,"[dbnum2]0万0仟0佰0拾0元0角0分")</f>
        <v>零万零仟叁佰伍拾零元零角零分</v>
      </c>
    </row>
    <row r="22" spans="1:7">
      <c r="A22" s="13" t="s">
        <v>40</v>
      </c>
      <c r="B22"/>
      <c r="C22" s="28"/>
    </row>
    <row r="23" spans="1:7">
      <c r="A23" s="13" t="s">
        <v>41</v>
      </c>
      <c r="B23"/>
      <c r="C23" s="28"/>
    </row>
    <row r="24" spans="1:7">
      <c r="A24" s="13" t="s">
        <v>42</v>
      </c>
      <c r="B24" s="29"/>
      <c r="C24" s="30" t="s">
        <v>43</v>
      </c>
    </row>
    <row r="25" spans="1:7">
      <c r="A25" s="13" t="s">
        <v>44</v>
      </c>
      <c r="B25" s="23"/>
      <c r="C25" s="31"/>
    </row>
    <row r="26" spans="1:7">
      <c r="A26" s="13" t="s">
        <v>45</v>
      </c>
      <c r="B26" s="23"/>
      <c r="C26" s="32"/>
      <c r="G26" s="33" t="s">
        <v>46</v>
      </c>
    </row>
    <row r="27" spans="1:7">
      <c r="A27" s="13" t="s">
        <v>47</v>
      </c>
      <c r="B27" s="34"/>
      <c r="C27" s="27"/>
      <c r="G27" s="33" t="s">
        <v>48</v>
      </c>
    </row>
    <row r="28" spans="1:7">
      <c r="A28" s="13" t="s">
        <v>49</v>
      </c>
      <c r="B28" s="35"/>
      <c r="C28" s="24" t="s">
        <v>50</v>
      </c>
      <c r="G28" s="33" t="s">
        <v>51</v>
      </c>
    </row>
    <row r="29" spans="1:7">
      <c r="A29" s="13" t="s">
        <v>52</v>
      </c>
      <c r="B29" s="36"/>
      <c r="C29" s="24" t="s">
        <v>53</v>
      </c>
    </row>
    <row r="30" spans="1:7">
      <c r="A30" s="13" t="s">
        <v>54</v>
      </c>
      <c r="B30" s="36"/>
      <c r="C30" s="24" t="s">
        <v>55</v>
      </c>
    </row>
    <row r="31" spans="1:7">
      <c r="A31" s="13" t="s">
        <v>56</v>
      </c>
      <c r="B31" s="36"/>
      <c r="C31" s="24" t="s">
        <v>57</v>
      </c>
    </row>
    <row r="32" spans="1:7">
      <c r="A32" s="13" t="s">
        <v>58</v>
      </c>
      <c r="B32" s="36"/>
      <c r="C32" s="24" t="s">
        <v>59</v>
      </c>
    </row>
    <row r="33" spans="1:3">
      <c r="A33" s="13" t="s">
        <v>60</v>
      </c>
      <c r="B33" s="36"/>
      <c r="C33" s="24" t="s">
        <v>61</v>
      </c>
    </row>
    <row r="34" spans="1:3">
      <c r="A34" s="13" t="s">
        <v>62</v>
      </c>
      <c r="B34" s="36"/>
      <c r="C34" s="24" t="s">
        <v>63</v>
      </c>
    </row>
    <row r="35" spans="1:3">
      <c r="A35" s="13" t="s">
        <v>64</v>
      </c>
      <c r="B35" s="36"/>
      <c r="C35" s="24" t="s">
        <v>65</v>
      </c>
    </row>
    <row r="36" spans="1:3">
      <c r="A36" s="13" t="s">
        <v>66</v>
      </c>
      <c r="B36" s="36"/>
      <c r="C36" s="24" t="s">
        <v>67</v>
      </c>
    </row>
    <row r="37" spans="1:3">
      <c r="A37" s="13" t="s">
        <v>68</v>
      </c>
      <c r="B37" s="36"/>
      <c r="C37" s="24" t="s">
        <v>69</v>
      </c>
    </row>
    <row r="38" spans="1:3">
      <c r="A38" s="13" t="s">
        <v>70</v>
      </c>
      <c r="B38" s="36"/>
      <c r="C38" s="24" t="s">
        <v>71</v>
      </c>
    </row>
    <row r="39" spans="1:3">
      <c r="A39" s="13" t="s">
        <v>72</v>
      </c>
      <c r="B39" s="36"/>
      <c r="C39" s="24" t="s">
        <v>73</v>
      </c>
    </row>
    <row r="40" spans="1:3">
      <c r="A40" s="13" t="s">
        <v>74</v>
      </c>
      <c r="B40" s="36"/>
      <c r="C40" s="24" t="s">
        <v>75</v>
      </c>
    </row>
    <row r="41" spans="1:3">
      <c r="A41" s="13" t="s">
        <v>76</v>
      </c>
      <c r="B41" s="36"/>
      <c r="C41" s="24" t="s">
        <v>77</v>
      </c>
    </row>
    <row r="42" spans="1:3">
      <c r="A42" s="13" t="s">
        <v>78</v>
      </c>
      <c r="B42" s="36"/>
      <c r="C42" s="24" t="s">
        <v>79</v>
      </c>
    </row>
    <row r="43" spans="1:3">
      <c r="A43" s="13" t="s">
        <v>80</v>
      </c>
      <c r="B43" s="36"/>
      <c r="C43" s="24" t="s">
        <v>81</v>
      </c>
    </row>
    <row r="44" spans="1:3">
      <c r="A44" s="13" t="s">
        <v>82</v>
      </c>
      <c r="B44" s="36"/>
      <c r="C44" s="24" t="s">
        <v>83</v>
      </c>
    </row>
    <row r="45" spans="1:3">
      <c r="A45" s="13" t="s">
        <v>84</v>
      </c>
      <c r="B45" s="36"/>
      <c r="C45" s="24" t="s">
        <v>85</v>
      </c>
    </row>
    <row r="46" spans="1:3">
      <c r="A46" s="13" t="s">
        <v>86</v>
      </c>
      <c r="B46" s="36"/>
      <c r="C46" s="24" t="s">
        <v>87</v>
      </c>
    </row>
    <row r="47" spans="1:3">
      <c r="A47" s="13" t="s">
        <v>88</v>
      </c>
      <c r="C47" s="24" t="s">
        <v>89</v>
      </c>
    </row>
    <row r="48" spans="1:3">
      <c r="A48" s="13" t="s">
        <v>90</v>
      </c>
      <c r="C48" s="24" t="s">
        <v>91</v>
      </c>
    </row>
    <row r="49" spans="1:3">
      <c r="A49" s="13" t="s">
        <v>92</v>
      </c>
      <c r="C49" s="24" t="s">
        <v>93</v>
      </c>
    </row>
    <row r="50" spans="1:3">
      <c r="A50" s="13" t="s">
        <v>94</v>
      </c>
      <c r="C50" s="24" t="s">
        <v>95</v>
      </c>
    </row>
    <row r="51" spans="1:3">
      <c r="A51" s="13" t="s">
        <v>96</v>
      </c>
      <c r="C51" s="24" t="s">
        <v>97</v>
      </c>
    </row>
    <row r="52" spans="1:3">
      <c r="A52" s="13" t="s">
        <v>98</v>
      </c>
      <c r="C52" s="24" t="s">
        <v>99</v>
      </c>
    </row>
    <row r="53" spans="1:3">
      <c r="A53" s="13" t="s">
        <v>100</v>
      </c>
      <c r="C53" s="24" t="s">
        <v>101</v>
      </c>
    </row>
    <row r="54" spans="1:3">
      <c r="A54" s="13" t="s">
        <v>102</v>
      </c>
      <c r="C54" s="24" t="s">
        <v>103</v>
      </c>
    </row>
    <row r="55" spans="1:3">
      <c r="A55" s="13" t="s">
        <v>104</v>
      </c>
      <c r="C55" s="24" t="s">
        <v>105</v>
      </c>
    </row>
    <row r="56" spans="1:3">
      <c r="A56" s="13" t="s">
        <v>106</v>
      </c>
      <c r="C56" s="24" t="s">
        <v>107</v>
      </c>
    </row>
    <row r="57" spans="1:3">
      <c r="A57" s="13" t="s">
        <v>108</v>
      </c>
      <c r="C57" s="24" t="s">
        <v>109</v>
      </c>
    </row>
    <row r="58" spans="1:3">
      <c r="A58" s="13" t="s">
        <v>110</v>
      </c>
      <c r="C58" s="24" t="s">
        <v>111</v>
      </c>
    </row>
    <row r="59" spans="1:3">
      <c r="A59" s="13" t="s">
        <v>112</v>
      </c>
      <c r="C59" s="24" t="s">
        <v>113</v>
      </c>
    </row>
    <row r="60" spans="1:3">
      <c r="A60" s="13" t="s">
        <v>114</v>
      </c>
      <c r="C60" s="24" t="s">
        <v>115</v>
      </c>
    </row>
  </sheetData>
  <mergeCells count="9">
    <mergeCell ref="A6:B6"/>
    <mergeCell ref="A7:B7"/>
    <mergeCell ref="A8:B8"/>
    <mergeCell ref="A9:B9"/>
    <mergeCell ref="A1:C1"/>
    <mergeCell ref="A2:B2"/>
    <mergeCell ref="A3:B3"/>
    <mergeCell ref="A4:B4"/>
    <mergeCell ref="A5:B5"/>
  </mergeCells>
  <phoneticPr fontId="14" type="noConversion"/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Sheet2.生成Word文件_Click">
                <anchor moveWithCells="1" sizeWithCells="1">
                  <from>
                    <xdr:col>3</xdr:col>
                    <xdr:colOff>9525</xdr:colOff>
                    <xdr:row>0</xdr:row>
                    <xdr:rowOff>390525</xdr:rowOff>
                  </from>
                  <to>
                    <xdr:col>4</xdr:col>
                    <xdr:colOff>485775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Sheet2.生成Word文件_Click2">
                <anchor moveWithCells="1" sizeWithCells="1">
                  <from>
                    <xdr:col>3</xdr:col>
                    <xdr:colOff>19050</xdr:colOff>
                    <xdr:row>3</xdr:row>
                    <xdr:rowOff>19050</xdr:rowOff>
                  </from>
                  <to>
                    <xdr:col>4</xdr:col>
                    <xdr:colOff>485775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0]!Sheet2.生成Word文件_Click3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495300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Pict="0" macro="[0]!Sheet2.生成Word文件_Click4" altText="生成4">
                <anchor moveWithCells="1" sizeWithCells="1">
                  <from>
                    <xdr:col>3</xdr:col>
                    <xdr:colOff>9525</xdr:colOff>
                    <xdr:row>7</xdr:row>
                    <xdr:rowOff>28575</xdr:rowOff>
                  </from>
                  <to>
                    <xdr:col>4</xdr:col>
                    <xdr:colOff>514350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32"/>
  <sheetViews>
    <sheetView workbookViewId="0">
      <selection activeCell="A10" sqref="A10:E10"/>
    </sheetView>
  </sheetViews>
  <sheetFormatPr defaultColWidth="9" defaultRowHeight="14.25"/>
  <cols>
    <col min="1" max="1" width="17.625" customWidth="1"/>
    <col min="2" max="2" width="44.5" customWidth="1"/>
    <col min="3" max="3" width="14.125" customWidth="1"/>
  </cols>
  <sheetData>
    <row r="1" spans="1:35" ht="25.5">
      <c r="A1" s="41" t="s">
        <v>116</v>
      </c>
      <c r="B1" s="41"/>
      <c r="C1" s="41"/>
      <c r="D1" s="41"/>
      <c r="E1" s="41"/>
      <c r="F1" s="41"/>
      <c r="G1" s="41"/>
      <c r="H1" s="41"/>
      <c r="I1" s="41"/>
      <c r="J1" s="41"/>
    </row>
    <row r="2" spans="1:35" s="1" customFormat="1" ht="34.5" customHeight="1">
      <c r="A2" s="4" t="s">
        <v>117</v>
      </c>
      <c r="B2" s="5" t="s">
        <v>15</v>
      </c>
    </row>
    <row r="3" spans="1:35" s="1" customFormat="1">
      <c r="A3" s="6" t="s">
        <v>118</v>
      </c>
      <c r="B3" s="7">
        <v>35</v>
      </c>
      <c r="C3" s="8" t="s">
        <v>119</v>
      </c>
      <c r="D3" s="8"/>
      <c r="H3" s="9" t="s">
        <v>120</v>
      </c>
    </row>
    <row r="4" spans="1:35" s="1" customFormat="1">
      <c r="A4" s="6" t="s">
        <v>121</v>
      </c>
      <c r="B4" s="7">
        <v>100</v>
      </c>
      <c r="C4" s="8" t="s">
        <v>122</v>
      </c>
    </row>
    <row r="5" spans="1:35" s="1" customFormat="1">
      <c r="A5" s="6" t="s">
        <v>123</v>
      </c>
      <c r="B5" s="7" t="s">
        <v>32</v>
      </c>
    </row>
    <row r="6" spans="1:35" s="1" customFormat="1">
      <c r="A6" s="6" t="s">
        <v>124</v>
      </c>
      <c r="B6" s="7" t="s">
        <v>32</v>
      </c>
    </row>
    <row r="7" spans="1:35" s="1" customFormat="1">
      <c r="A7" s="6" t="s">
        <v>125</v>
      </c>
      <c r="B7" s="7" t="s">
        <v>32</v>
      </c>
    </row>
    <row r="8" spans="1:35" s="1" customFormat="1">
      <c r="A8" s="6" t="s">
        <v>126</v>
      </c>
      <c r="B8" s="7" t="s">
        <v>32</v>
      </c>
    </row>
    <row r="9" spans="1:35" s="2" customFormat="1">
      <c r="A9" s="10" t="s">
        <v>16</v>
      </c>
      <c r="B9" s="10" t="s">
        <v>18</v>
      </c>
      <c r="C9" s="10" t="s">
        <v>21</v>
      </c>
      <c r="D9" s="10" t="s">
        <v>23</v>
      </c>
      <c r="E9" s="10" t="s">
        <v>25</v>
      </c>
      <c r="F9" s="10" t="s">
        <v>28</v>
      </c>
      <c r="G9" s="10" t="s">
        <v>31</v>
      </c>
      <c r="H9" s="10" t="s">
        <v>33</v>
      </c>
      <c r="I9" s="10" t="s">
        <v>35</v>
      </c>
      <c r="J9" s="10" t="s">
        <v>37</v>
      </c>
      <c r="K9" s="10" t="s">
        <v>38</v>
      </c>
      <c r="L9" s="10" t="s">
        <v>40</v>
      </c>
      <c r="M9" s="10" t="s">
        <v>41</v>
      </c>
      <c r="N9" s="10" t="s">
        <v>42</v>
      </c>
      <c r="O9" s="10" t="s">
        <v>44</v>
      </c>
      <c r="P9" s="10" t="s">
        <v>45</v>
      </c>
      <c r="Q9" s="10" t="s">
        <v>47</v>
      </c>
      <c r="R9" s="10" t="s">
        <v>49</v>
      </c>
      <c r="S9" s="10" t="s">
        <v>52</v>
      </c>
      <c r="T9" s="10" t="s">
        <v>54</v>
      </c>
      <c r="U9" s="10" t="s">
        <v>56</v>
      </c>
      <c r="V9" s="10" t="s">
        <v>58</v>
      </c>
      <c r="W9" s="10" t="s">
        <v>60</v>
      </c>
      <c r="X9" s="10" t="s">
        <v>62</v>
      </c>
      <c r="Y9" s="10" t="s">
        <v>64</v>
      </c>
      <c r="Z9" s="10" t="s">
        <v>66</v>
      </c>
      <c r="AA9" s="10" t="s">
        <v>68</v>
      </c>
      <c r="AB9" s="10" t="s">
        <v>70</v>
      </c>
      <c r="AC9" s="10" t="s">
        <v>72</v>
      </c>
      <c r="AD9" s="10" t="s">
        <v>74</v>
      </c>
      <c r="AE9" s="10" t="s">
        <v>76</v>
      </c>
      <c r="AF9" s="10" t="s">
        <v>78</v>
      </c>
      <c r="AG9" s="10" t="s">
        <v>80</v>
      </c>
      <c r="AH9" s="10" t="s">
        <v>82</v>
      </c>
      <c r="AI9" s="10" t="s">
        <v>84</v>
      </c>
    </row>
    <row r="10" spans="1:35" s="2" customFormat="1">
      <c r="A10" s="10" t="s">
        <v>127</v>
      </c>
      <c r="B10" s="10" t="s">
        <v>128</v>
      </c>
      <c r="C10" s="10" t="s">
        <v>129</v>
      </c>
      <c r="D10" s="10" t="s">
        <v>130</v>
      </c>
      <c r="E10" s="10" t="s">
        <v>131</v>
      </c>
      <c r="F10" s="10" t="s">
        <v>28</v>
      </c>
      <c r="G10" s="10" t="s">
        <v>31</v>
      </c>
      <c r="H10" s="10" t="s">
        <v>33</v>
      </c>
      <c r="I10" s="10" t="s">
        <v>35</v>
      </c>
      <c r="J10" s="10" t="s">
        <v>37</v>
      </c>
      <c r="K10" s="10" t="s">
        <v>132</v>
      </c>
      <c r="L10" s="10" t="s">
        <v>133</v>
      </c>
      <c r="M10" s="10" t="s">
        <v>134</v>
      </c>
      <c r="N10" s="10" t="s">
        <v>135</v>
      </c>
      <c r="O10" s="10" t="s">
        <v>136</v>
      </c>
      <c r="P10" s="10" t="s">
        <v>137</v>
      </c>
      <c r="Q10" s="10" t="s">
        <v>138</v>
      </c>
      <c r="R10" s="10" t="s">
        <v>139</v>
      </c>
      <c r="S10" s="10" t="s">
        <v>140</v>
      </c>
      <c r="T10" s="10" t="s">
        <v>141</v>
      </c>
      <c r="U10" s="10" t="s">
        <v>142</v>
      </c>
      <c r="V10" s="10" t="s">
        <v>143</v>
      </c>
      <c r="W10" s="10" t="s">
        <v>144</v>
      </c>
      <c r="X10" s="10" t="s">
        <v>145</v>
      </c>
      <c r="Y10" s="10" t="s">
        <v>146</v>
      </c>
      <c r="Z10" s="10" t="s">
        <v>147</v>
      </c>
      <c r="AA10" s="10" t="s">
        <v>148</v>
      </c>
      <c r="AB10" s="10" t="s">
        <v>149</v>
      </c>
      <c r="AC10" s="10" t="s">
        <v>150</v>
      </c>
      <c r="AD10" s="10" t="s">
        <v>151</v>
      </c>
      <c r="AE10" s="10" t="s">
        <v>152</v>
      </c>
      <c r="AF10" s="10" t="s">
        <v>153</v>
      </c>
      <c r="AG10" s="10" t="s">
        <v>154</v>
      </c>
      <c r="AH10" s="10" t="s">
        <v>155</v>
      </c>
      <c r="AI10" s="10" t="s">
        <v>156</v>
      </c>
    </row>
    <row r="11" spans="1:35" s="3" customFormat="1" ht="11.25">
      <c r="A11" s="3" t="s">
        <v>157</v>
      </c>
      <c r="B11" s="11" t="str">
        <f>C11&amp;"_"&amp;D11</f>
        <v>横向1_XXXX1</v>
      </c>
      <c r="C11" s="3" t="s">
        <v>158</v>
      </c>
      <c r="D11" s="3" t="s">
        <v>159</v>
      </c>
      <c r="E11" s="3" t="s">
        <v>160</v>
      </c>
    </row>
    <row r="12" spans="1:35" s="3" customFormat="1" ht="11.25">
      <c r="A12" s="3" t="s">
        <v>161</v>
      </c>
      <c r="B12" s="11" t="str">
        <f t="shared" ref="B12:B13" si="0">C12&amp;"_"&amp;D12</f>
        <v>横向2_XXXX2</v>
      </c>
      <c r="C12" s="3" t="s">
        <v>162</v>
      </c>
      <c r="D12" s="3" t="s">
        <v>163</v>
      </c>
      <c r="E12" s="3" t="s">
        <v>164</v>
      </c>
    </row>
    <row r="13" spans="1:35" s="3" customFormat="1" ht="11.25">
      <c r="A13" s="3" t="s">
        <v>165</v>
      </c>
      <c r="B13" s="11" t="str">
        <f t="shared" si="0"/>
        <v>横向3_XXXX3</v>
      </c>
      <c r="C13" s="3" t="s">
        <v>166</v>
      </c>
      <c r="D13" s="3" t="s">
        <v>167</v>
      </c>
      <c r="E13" s="3" t="s">
        <v>168</v>
      </c>
    </row>
    <row r="14" spans="1:35" s="3" customFormat="1" ht="11.25">
      <c r="B14" s="11"/>
    </row>
    <row r="15" spans="1:35" s="3" customFormat="1" ht="11.25">
      <c r="B15" s="11"/>
    </row>
    <row r="16" spans="1:35" s="3" customFormat="1" ht="11.25">
      <c r="B16" s="11"/>
    </row>
    <row r="17" spans="2:2" s="3" customFormat="1" ht="11.25">
      <c r="B17" s="11"/>
    </row>
    <row r="18" spans="2:2" s="3" customFormat="1" ht="11.25">
      <c r="B18" s="11"/>
    </row>
    <row r="19" spans="2:2" s="3" customFormat="1" ht="11.25">
      <c r="B19" s="11"/>
    </row>
    <row r="20" spans="2:2" s="3" customFormat="1" ht="11.25">
      <c r="B20" s="11"/>
    </row>
    <row r="21" spans="2:2" s="3" customFormat="1" ht="11.25">
      <c r="B21" s="11"/>
    </row>
    <row r="22" spans="2:2" s="3" customFormat="1" ht="11.25">
      <c r="B22" s="11"/>
    </row>
    <row r="23" spans="2:2" s="3" customFormat="1" ht="11.25"/>
    <row r="24" spans="2:2" s="3" customFormat="1" ht="11.25"/>
    <row r="25" spans="2:2" s="3" customFormat="1" ht="11.25"/>
    <row r="26" spans="2:2" s="3" customFormat="1" ht="11.25"/>
    <row r="27" spans="2:2" s="3" customFormat="1" ht="11.25"/>
    <row r="28" spans="2:2" s="3" customFormat="1" ht="11.25"/>
    <row r="29" spans="2:2" s="3" customFormat="1" ht="11.25"/>
    <row r="30" spans="2:2" s="3" customFormat="1" ht="11.25"/>
    <row r="31" spans="2:2" s="3" customFormat="1" ht="11.25"/>
    <row r="32" spans="2:2" s="3" customFormat="1" ht="11.25"/>
  </sheetData>
  <mergeCells count="1">
    <mergeCell ref="A1:J1"/>
  </mergeCells>
  <phoneticPr fontId="1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Pict="0" macro="[0]!Sheet1.生成第一行_Click">
                <anchor moveWithCells="1" sizeWithCells="1">
                  <from>
                    <xdr:col>5</xdr:col>
                    <xdr:colOff>0</xdr:colOff>
                    <xdr:row>2</xdr:row>
                    <xdr:rowOff>9525</xdr:rowOff>
                  </from>
                  <to>
                    <xdr:col>6</xdr:col>
                    <xdr:colOff>657225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Pict="0" macro="[0]!Sheet1.批量生成Word文件_Click">
                <anchor moveWithCells="1" sizeWithCells="1">
                  <from>
                    <xdr:col>4</xdr:col>
                    <xdr:colOff>666750</xdr:colOff>
                    <xdr:row>4</xdr:row>
                    <xdr:rowOff>38100</xdr:rowOff>
                  </from>
                  <to>
                    <xdr:col>6</xdr:col>
                    <xdr:colOff>666750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Pict="0" macro="[0]!Sheet1.批量生成Word文件无增强_Click">
                <anchor moveWithCells="1" sizeWithCells="1">
                  <from>
                    <xdr:col>7</xdr:col>
                    <xdr:colOff>304800</xdr:colOff>
                    <xdr:row>3</xdr:row>
                    <xdr:rowOff>85725</xdr:rowOff>
                  </from>
                  <to>
                    <xdr:col>9</xdr:col>
                    <xdr:colOff>209550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生成word</vt:lpstr>
      <vt:lpstr>批量生成</vt:lpstr>
    </vt:vector>
  </TitlesOfParts>
  <Company>财务股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setupcn</dc:creator>
  <cp:lastModifiedBy>lilyhcn</cp:lastModifiedBy>
  <cp:lastPrinted>2019-10-22T06:35:00Z</cp:lastPrinted>
  <dcterms:created xsi:type="dcterms:W3CDTF">2009-04-27T12:45:00Z</dcterms:created>
  <dcterms:modified xsi:type="dcterms:W3CDTF">2021-09-25T14:06:45Z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