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/>
  </bookViews>
  <sheets>
    <sheet name="单脚本" sheetId="13" r:id="rId1"/>
    <sheet name="多脚本" sheetId="15" r:id="rId2"/>
    <sheet name="通讯录" sheetId="12" r:id="rId3"/>
    <sheet name="密码区" sheetId="11" r:id="rId4"/>
    <sheet name="常用代码" sheetId="14" r:id="rId5"/>
  </sheets>
  <externalReferences>
    <externalReference r:id="rId7"/>
  </externalReferences>
  <definedNames>
    <definedName name="_xlnm._FilterDatabase" localSheetId="0" hidden="1">单脚本!$A$19:$O$27</definedName>
    <definedName name="ExternalData_1" localSheetId="2">通讯录!$A$1:$P$2</definedName>
    <definedName name="ExternalData_1_1" localSheetId="2">通讯录!$A$1:$G$2</definedName>
    <definedName name="ExternalData_1_2" localSheetId="2">通讯录!$A$1:$G$2</definedName>
    <definedName name="ExternalData_1000" localSheetId="2">通讯录!$A$1:$H$1</definedName>
    <definedName name="ExternalData_1001" localSheetId="2">通讯录!$A$1:$H$1</definedName>
    <definedName name="ExternalData_1002" localSheetId="2">通讯录!$A$1:$G$1</definedName>
    <definedName name="ExternalData_1003" localSheetId="2">通讯录!#REF!</definedName>
    <definedName name="ExternalData_1004" localSheetId="2">通讯录!$A$1:$F$1</definedName>
    <definedName name="ExternalData_1005" localSheetId="2">通讯录!$A$1:$H$1</definedName>
    <definedName name="ExternalData_1006" localSheetId="2">通讯录!$A$1:$H$1</definedName>
    <definedName name="ExternalData_1007" localSheetId="2">通讯录!$A$1:$F$1</definedName>
    <definedName name="ExternalData_1008" localSheetId="2">通讯录!#REF!</definedName>
    <definedName name="ExternalData_1009" localSheetId="2">通讯录!$A$1:$H$1</definedName>
    <definedName name="ExternalData_1010" localSheetId="2">通讯录!$A$1:$H$1</definedName>
    <definedName name="ExternalData_1011" localSheetId="2">通讯录!$A$1:$H$1</definedName>
    <definedName name="ExternalData_1012" localSheetId="2">通讯录!$A$1:$AP$2</definedName>
    <definedName name="ExternalData_1013" localSheetId="2">通讯录!$A$1:$AP$2</definedName>
    <definedName name="ExternalData_1014" localSheetId="2">通讯录!$A$1:$G$2</definedName>
    <definedName name="ExternalData_1015" localSheetId="2">通讯录!$A$1:$AP$2</definedName>
    <definedName name="ExternalData_1016" localSheetId="2">通讯录!$A$1:$H$2</definedName>
    <definedName name="ExternalData_1017" localSheetId="2">通讯录!$A$1:$H$2</definedName>
    <definedName name="ExternalData_1018" localSheetId="2">通讯录!$A$1:$H$2</definedName>
    <definedName name="ExternalData_1019" localSheetId="2">通讯录!$A$1:$H$2</definedName>
    <definedName name="ExternalData_1020" localSheetId="2">通讯录!$A$1:$H$2</definedName>
    <definedName name="ExternalData_1021" localSheetId="2">通讯录!#REF!</definedName>
    <definedName name="ExternalData_1022" localSheetId="2">通讯录!$A$1:$G$2</definedName>
    <definedName name="ExternalData_1023" localSheetId="2">通讯录!$A$1:$N$2</definedName>
    <definedName name="ExternalData_989" localSheetId="2">通讯录!$A$1:$H$1</definedName>
    <definedName name="ExternalData_990" localSheetId="2">通讯录!$A$1:$H$1</definedName>
    <definedName name="ExternalData_991" localSheetId="2">通讯录!$A$1:$H$1</definedName>
    <definedName name="ExternalData_992" localSheetId="2">通讯录!$A$1:$A$1</definedName>
    <definedName name="ExternalData_993" localSheetId="2">通讯录!#REF!</definedName>
    <definedName name="ExternalData_994" localSheetId="2">通讯录!$A$1:$H$1</definedName>
    <definedName name="ExternalData_995" localSheetId="2">通讯录!$A$1:$H$1</definedName>
    <definedName name="ExternalData_996" localSheetId="2">通讯录!$A$1:$H$1</definedName>
    <definedName name="ExternalData_997" localSheetId="2">通讯录!$A$1:$H$1</definedName>
    <definedName name="ExternalData_998" localSheetId="2">通讯录!$A$1:$H$1</definedName>
    <definedName name="ExternalData_999" localSheetId="2">通讯录!$A$1:$H$1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C3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C4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" type="4" background="1" refreshedVersion="2" deleted="1" saveData="1">
    <webPr parsePre="1" consecutive="1" xl2000="1" htmlFormat="all" htmlTables="1"/>
  </connection>
  <connection id="3" name="连接2" type="4" background="1" refreshedVersion="2" deleted="1" saveData="1">
    <webPr parsePre="1" consecutive="1" xl2000="1" htmlFormat="all" htmlTables="1"/>
  </connection>
  <connection id="4" name="连接3" type="4" background="1" refreshedVersion="2" deleted="1" saveData="1">
    <webPr parsePre="1" consecutive="1" xl2000="1" htmlFormat="all" htmlTables="1"/>
  </connection>
  <connection id="5" name="连接4" type="4" background="1" refreshedVersion="2" deleted="1" saveData="1">
    <webPr parsePre="1" consecutive="1" xl2000="1" htmlFormat="all" htmlTables="1"/>
  </connection>
  <connection id="6" name="连接5" type="4" background="1" refreshedVersion="2" deleted="1" saveData="1">
    <webPr parsePre="1" consecutive="1" xl2000="1" htmlFormat="all" htmlTables="1"/>
  </connection>
  <connection id="7" name="连接6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<sst xmlns="http://schemas.openxmlformats.org/spreadsheetml/2006/main" count="361" uniqueCount="235">
  <si>
    <t>二维码(goqr.me)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</si>
  <si>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</si>
  <si>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</si>
  <si>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</si>
  <si>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</si>
  <si>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</si>
  <si>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</si>
  <si>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</si>
  <si>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</si>
  <si>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</si>
  <si>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</si>
  <si>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</si>
  <si>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</si>
  <si>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</si>
  <si>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</si>
  <si>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</si>
  <si>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二维码内容，暂不支持换行</t>
  </si>
  <si>
    <t>文件名</t>
  </si>
  <si>
    <t>文件大小</t>
  </si>
  <si>
    <t>老黄牛1</t>
  </si>
  <si>
    <t>老黄牛2</t>
  </si>
  <si>
    <t>老黄牛3</t>
  </si>
  <si>
    <t>老黄牛4</t>
  </si>
  <si>
    <t>老黄牛5</t>
  </si>
  <si>
    <t>老黄牛6</t>
  </si>
  <si>
    <t>老黄牛7</t>
  </si>
  <si>
    <t>生成文件</t>
  </si>
  <si>
    <t>第20行为注释行</t>
  </si>
  <si>
    <t>pause</t>
  </si>
  <si>
    <t>参数16</t>
  </si>
  <si>
    <t>参数17</t>
  </si>
  <si>
    <t>参数18</t>
  </si>
  <si>
    <t>参数19</t>
  </si>
  <si>
    <t>参数20</t>
  </si>
  <si>
    <t>执行脚本</t>
  </si>
  <si>
    <t>新的根文件夹</t>
  </si>
  <si>
    <t>新相对文件夹</t>
  </si>
  <si>
    <t>新文件名</t>
  </si>
  <si>
    <t>新绝对路径</t>
  </si>
  <si>
    <t>文件名称</t>
  </si>
  <si>
    <t>绝对路径</t>
  </si>
  <si>
    <t>相对目录</t>
  </si>
  <si>
    <t>文件相对路径</t>
  </si>
  <si>
    <t>修改时间</t>
  </si>
  <si>
    <t>大小(kb)</t>
  </si>
  <si>
    <t>扩展名</t>
  </si>
  <si>
    <t>一层目录</t>
  </si>
  <si>
    <t>二层目录</t>
  </si>
  <si>
    <t>三层目录</t>
  </si>
  <si>
    <t>四层目录</t>
  </si>
  <si>
    <t>五层目录</t>
  </si>
  <si>
    <t>六层目录</t>
  </si>
  <si>
    <t>七层目录</t>
  </si>
  <si>
    <t>复制文件</t>
  </si>
  <si>
    <t>C:\Users\lilyhcn\Desktop\如何以文件夹命名里面的每张图片\</t>
  </si>
  <si>
    <t>签单    副本</t>
  </si>
  <si>
    <t>C:\Users\lilyhcn\Desktop\如何批量重命名文件\签单    副本.xlsm</t>
  </si>
  <si>
    <t>签单    副本.xlsm</t>
  </si>
  <si>
    <t>xlsm</t>
  </si>
  <si>
    <t>简单代码生成器</t>
  </si>
  <si>
    <t>C:\Users\lilyhcn\Desktop\如何批量重命名文件\简单代码生成器.xlsm</t>
  </si>
  <si>
    <t>简单代码生成器.xlsm</t>
  </si>
  <si>
    <t>脚本</t>
  </si>
  <si>
    <t>C:\Users\lilyhcn\Desktop\如何批量重命名文件\脚本.bat</t>
  </si>
  <si>
    <t>脚本.bat</t>
  </si>
  <si>
    <t>bat</t>
  </si>
  <si>
    <t>签   单   副本</t>
  </si>
  <si>
    <t>C:\Users\lilyhcn\Desktop\如何批量重命名文件\新建文件夹\签   单   副本.xlsx</t>
  </si>
  <si>
    <t>新建文件夹\</t>
  </si>
  <si>
    <t>新建文件夹\签   单   副本.xlsx</t>
  </si>
  <si>
    <t>签   单   副本.xlsx</t>
  </si>
  <si>
    <t>xlsx</t>
  </si>
  <si>
    <t>签   单</t>
  </si>
  <si>
    <t>C:\Users\lilyhcn\Desktop\如何批量重命名文件\新建文件夹\签   单.xlsx</t>
  </si>
  <si>
    <t>新建文件夹\签   单.xlsx</t>
  </si>
  <si>
    <t>签   单.xlsx</t>
  </si>
  <si>
    <t>C:\Users\lilyhcn\Desktop\如何批量重命名文件\新建文件夹\新建文件夹\签   单   副本.xlsx</t>
  </si>
  <si>
    <t>新建文件夹\新建文件夹\</t>
  </si>
  <si>
    <t>新建文件夹\新建文件夹\签   单   副本.xlsx</t>
  </si>
  <si>
    <t>新建文件夹</t>
  </si>
  <si>
    <t>签   单   副本    副本</t>
  </si>
  <si>
    <t>C:\Users\lilyhcn\Desktop\如何批量重命名文件\新建文件夹\新建文件夹\新建文件夹\签   单   副本    副本.xlsm</t>
  </si>
  <si>
    <t>新建文件夹\新建文件夹\新建文件夹\</t>
  </si>
  <si>
    <t>新建文件夹\新建文件夹\新建文件夹\签   单   副本    副本.xlsm</t>
  </si>
  <si>
    <t>签   单   副本    副本.xlsm</t>
  </si>
  <si>
    <t>C:\Users\lilyhcn\Desktop\如何批量重命名文件\新建文件夹\新建文件夹\新建文件夹\签   单   副本.xls</t>
  </si>
  <si>
    <t>新建文件夹\新建文件夹\新建文件夹\签   单   副本.xls</t>
  </si>
  <si>
    <t>签   单   副本.xls</t>
  </si>
  <si>
    <t>xls</t>
  </si>
  <si>
    <t>姓名</t>
  </si>
  <si>
    <t>工号</t>
  </si>
  <si>
    <t>手机长号</t>
  </si>
  <si>
    <t>手机短号</t>
  </si>
  <si>
    <t>QQ</t>
  </si>
  <si>
    <t>邮箱</t>
  </si>
  <si>
    <t>微信</t>
  </si>
  <si>
    <t>钉钉</t>
  </si>
  <si>
    <t>小黄牛</t>
  </si>
  <si>
    <t>分割</t>
  </si>
  <si>
    <t>13012345679</t>
  </si>
  <si>
    <t>111111@qq.com</t>
  </si>
  <si>
    <t>老黄牛</t>
  </si>
  <si>
    <t>222222@qq.com</t>
  </si>
  <si>
    <t>参数51</t>
  </si>
  <si>
    <t>数据表名</t>
  </si>
  <si>
    <t>参数52</t>
  </si>
  <si>
    <t>显示字段</t>
  </si>
  <si>
    <t>参数53</t>
  </si>
  <si>
    <t>查看密码</t>
  </si>
  <si>
    <t>参数54</t>
  </si>
  <si>
    <t>上传密码</t>
  </si>
  <si>
    <t>参数55</t>
  </si>
  <si>
    <t>用户名</t>
  </si>
  <si>
    <t>参数56</t>
  </si>
  <si>
    <t>用户密码</t>
  </si>
  <si>
    <t>参数57</t>
  </si>
  <si>
    <t>查询网址</t>
  </si>
  <si>
    <t>参数58</t>
  </si>
  <si>
    <t>参数59</t>
  </si>
  <si>
    <t>高校通的帐号密码，我只在浙江测试</t>
  </si>
  <si>
    <t>参数60</t>
  </si>
  <si>
    <t>高校通用户名</t>
  </si>
  <si>
    <t>参数61</t>
  </si>
  <si>
    <t>高校通密码</t>
  </si>
  <si>
    <t>参数62</t>
  </si>
  <si>
    <t>参数63</t>
  </si>
  <si>
    <t>邮箱必须支持smtp，我用163的邮箱</t>
  </si>
  <si>
    <t>参数64</t>
  </si>
  <si>
    <t>邮箱帐号</t>
  </si>
  <si>
    <t>参数65</t>
  </si>
  <si>
    <t>邮箱密码</t>
  </si>
  <si>
    <t>参数66</t>
  </si>
  <si>
    <t>GSM Modem</t>
  </si>
  <si>
    <t>参数67</t>
  </si>
  <si>
    <t>GSM的IP</t>
  </si>
  <si>
    <t>参数68</t>
  </si>
  <si>
    <t>帐号</t>
  </si>
  <si>
    <t>参数69</t>
  </si>
  <si>
    <t>密码</t>
  </si>
  <si>
    <t>参数70</t>
  </si>
  <si>
    <t>server酱密钥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</si>
  <si>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</si>
  <si>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</si>
  <si>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</si>
  <si>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</si>
  <si>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</si>
  <si>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</si>
  <si>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</si>
  <si>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</si>
  <si>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</si>
  <si>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</si>
  <si>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类型</t>
  </si>
  <si>
    <t>文件类型</t>
  </si>
  <si>
    <t>代码名</t>
  </si>
  <si>
    <t>核心代码</t>
  </si>
  <si>
    <t>说明1</t>
  </si>
  <si>
    <t>说明2</t>
  </si>
  <si>
    <t>说明3</t>
  </si>
  <si>
    <t>发消息</t>
  </si>
  <si>
    <t>vbs</t>
  </si>
  <si>
    <t>QQ复制消息到聊天窗</t>
  </si>
  <si>
    <t>rem  ---------参数01---------
CreateObject("Wscript.Shell")
set ws=wscript.createobject("wscript.shell")
ws.appactivate "QQ"
ws.run "tencent://message/?uin=参数04&amp;Site=LG&amp;Menu=yes"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</si>
  <si>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参数04：发送QQ号，参数11：要发送的消息</t>
  </si>
  <si>
    <t>QQ复制文件到聊天窗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</si>
  <si>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Set ws= Nothing
Set ws2= Nothing
Set wss= Nothing
</t>
  </si>
  <si>
    <t>参数04：发送QQ号</t>
  </si>
  <si>
    <t>QQ只激活聊天窗口</t>
  </si>
  <si>
    <t xml:space="preserve">rem  ---------参数01的代码块---------
CreateObject("Wscript.Shell")
url="tencent://message/?uin=参数04&amp;Site=LG&amp;Menu=yes"
set wss=createobject("Wscript.shell")
wss.run url
</t>
  </si>
  <si>
    <t>QQ发送消息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</si>
  <si>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wscript.sleep 1500
ws.sendkeys "{enter}"
wscript.sleep 3000
Set ws= Nothing
Set ws2= Nothing
Set wss= Nothing
</t>
  </si>
  <si>
    <t>QQ弹窗才发送消息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</si>
  <si>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'判断是否发送回车
x=msgbox("是否按回车发送此信息",VbOkCancel)
if x=VbOk then
ws.sendkeys "{enter}"
elseif x=Vbcancel then
set ws2 = createobject("wscript.shell")
ws2.run  "taskkill /IM wscript.exe /F"
end if
Set ws= Nothing
Set ws2= Nothing
Set wss= Nothing
</t>
  </si>
  <si>
    <t>微信发消息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</si>
  <si>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999
ws.sendKeys "^f"
wscript.sleep 999
ws.sendKeys "^v"
wscript.sleep 999
ws.sendKeys "{ENTER}"
wscript.sleep 555
ws.sendKeys "{TAB}"
wscript.sleep 555
ws.Run "mshta vbscript:ClipboardData.SetData("&amp;chr(34)&amp;"text"&amp;chr(34)&amp;"," &amp;Chr(34)&amp; Msg &amp;Chr(34)&amp; ")(close)",0,True
wscript.sleep 500
ws.sendKeys "^v"
wscript.sleep 300
ws.sendKeys "{ENTER}"
Set ws= Nothing</t>
  </si>
  <si>
    <t>参数03：微信的名称，参数11：要发送的消息</t>
  </si>
  <si>
    <t>邮件</t>
  </si>
  <si>
    <t xml:space="preserve">rem ----------------参数01----------------------
If Send_Mail("参数64","参数65","参数05","","参数11","参数12","参数13")=True Then 
Wscript.Echo "参数01" &amp; "发送成功" 
Else 
Wscript.Echo "参数01" &amp; "发送失败" 
End If 
</t>
  </si>
  <si>
    <t>参数64：邮箱，参数65：密码，参数12：邮箱，参数13：内容，参数14：附件的地址</t>
  </si>
  <si>
    <t>GSM Modem发短信</t>
  </si>
  <si>
    <t>rem  ---------参数01---------
Set Sh = WScript.CreateObject("WScript.Shell")
Sh.Run "http://参数67:8090/SendSMS?username=参数68&amp;password=参数69&amp;phone=参数02&amp;message=参数11", 3 
WScript.Sleep 3
set Sh=nothing</t>
  </si>
  <si>
    <t>这个要先构建服务器才能发送。
参数67:服务器的地址，参数68：用户名，参数69：密码，参数02：手机号，参数11：要发送的消息，不能有空格和回车。</t>
  </si>
  <si>
    <t>QQ粘贴文件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</si>
  <si>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'粘贴文字
wscript.sleep 1500
wss.sendKeys "^v"
wscript.sleep 1500
wss.sendkeys "{enter}"
wscript.sleep 3000
Set ws= Nothing
Set ws2= Nothing
Set wss= Nothing
</t>
  </si>
  <si>
    <t>QQ发送指定文件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</si>
  <si>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"cmd.exe /c echo 参数15 | D:\老黄牛小工具\小工具\xclip.exe /copy",0
wss.run url
'粘贴文字
wscript.sleep 2500
wss.sendKeys "^v"
wscript.sleep 1500
wss.sendkeys "{enter}"
wscript.sleep 1500
Set ws2= Nothing
Set wss= Nothing
</t>
  </si>
  <si>
    <t>参数04：发送QQ号，参数15：文件的路径</t>
  </si>
  <si>
    <t>微信粘贴文件</t>
  </si>
  <si>
    <t>rem 正在执行 参数01
Name= "参数03"
Msg = "参数11"
set ws=wscript.createobject("wscript.shell")
ws.Run "mshta vbscript:ClipboardData.SetData("&amp;chr(34)&amp;"text"&amp;chr(34)&amp;"," &amp;Chr(34)&amp; Name&amp;Chr(34)&amp; ")(close)",0,True
wscript.sleep 500
ws.sendKeys "^f"
wscript.sleep 500
ws.sendKeys "^v"
wscript.sleep 500
ws.sendKeys "{ENTER}"
wscript.sleep 200
ws.sendKeys "{TAB}"
wscript.sleep 500
ws.sendKeys "^v"
wscript.sleep 300
ws.sendKeys "{ENTER}"
Set ws= Nothing</t>
  </si>
  <si>
    <t>参数03：微信的名称，这个要先复制文件</t>
  </si>
  <si>
    <t>QQ复制消息到聊天窗2</t>
  </si>
  <si>
    <t xml:space="preserve">rem  ---------参数01的代码块---------
CreateObject("Wscript.Shell")
set ws2=wscript.createobject("wscript.shell")
ws2.appactivate "QQ"
url="tencent://message/?uin=参数04&amp;Site=LG&amp;Menu=yes"
set wss=createobject("Wscript.shell")
wss.run url
'写入信息到剪切板
Msg = "参数11"
set ws=wscript.createobject("wscript.shell")
ws.Run "mshta vbscript:ClipboardData.SetData("&amp;chr(34)&amp;"text"&amp;chr(34)&amp;"," &amp;Chr(34)&amp; Msg &amp;Chr(34)&amp; ")(close)",0,True
'粘贴文字
wscript.sleep 1500
ws.sendKeys "^v"
Set ws= Nothing
Set ws2= Nothing
Set wss= Nothing
</t>
  </si>
  <si>
    <t xml:space="preserve">旺旺未测试 </t>
  </si>
  <si>
    <t>rem  ---------参数01---------
CreateObject("Wscript.Shell")
set ws=wscript.createobject("wscript.shell")
ws.run "https://amos.alicdn.com/getcid.aw?spm=a360q.8274423.0.0.71584c9a1M9Qng&amp;v=3&amp;groupid=0&amp;s=1&amp;charset=utf-8&amp;uid=参数1&amp;site=cnalichn&amp;fromid=cnalichn旺旺账号"
'写入信息到剪切板
Msg = "参数11"
ws.Run "mshta vbscript:ClipboardData.SetData("&amp;chr(34)&amp;"text"&amp;chr(34)&amp;"," &amp;Chr(34)&amp; Msg &amp;Chr(34)&amp; ")(close)",0,True
ws.appactivate "QQ"
'粘贴文字
wscript.sleep 1500
ws.sendKeys "^v"
wscript.sleep 2000
Set ws= Nothing</t>
  </si>
  <si>
    <t>旺旺</t>
  </si>
  <si>
    <t>系统</t>
  </si>
  <si>
    <t>mkdir "参数07参数08"
copy "参数12" "参数10" /y</t>
  </si>
  <si>
    <t>参数07：文件根目录，参数08：文件相对路径；参数10：最终的绝对路径；参数12：旧文件的绝对路径</t>
  </si>
  <si>
    <t>无参数 pause</t>
  </si>
  <si>
    <t>ping</t>
  </si>
  <si>
    <t>ping 参数11</t>
  </si>
  <si>
    <t>参数11：要ping的网址</t>
  </si>
  <si>
    <t>二维码</t>
  </si>
  <si>
    <t>Zint二维码(bat)</t>
  </si>
  <si>
    <t xml:space="preserve">rem 参数11
set nowpath=%~dp0
set notepad2path=%nowpath%辅助文件夹\notepad2\notepad2.exe
set zint=%nowpath%辅助文件夹\zint二维码生成\zint.exe
set genpath=%nowpath%生成文件夹
cd %genpath%
echo 参数11 &gt;temp.txt
%zint% -o %genpath%\参数12.png  -b 58 --scale 10 --binary -i temp.txt </t>
  </si>
  <si>
    <t>参数11：字符串</t>
  </si>
  <si>
    <t>Zint条形码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</si>
  <si>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--d "参数11" </t>
  </si>
  <si>
    <t>参数12：要生成的字符串</t>
  </si>
  <si>
    <t>Zint条形码128</t>
  </si>
  <si>
    <t xml:space="preserve">rem 参数11
set nowpath=%~dp0
set notepad2path=%nowpath%辅助文件夹\notepad2\notepad2.exe
set zint=%nowpath%辅助文件夹\zint二维码生成\zint.exe
set genpath=%nowpath%生成文件夹
%zint% -o %genpath%\参数12.png -b 20 -d "参数11" </t>
  </si>
  <si>
    <t>Zint DM二维码</t>
  </si>
  <si>
    <t xml:space="preserve">rem 参数11
set nowpath=%~dp0
set notepad2path=%nowpath%辅助文件夹\notepad2\notepad2.exe
set zint=%nowpath%辅助文件夹\zint二维码生成\zint.exe
set genpath=%nowpath%生成文件夹
%zint% -o %genpath%\参数12.png -b 71 -d "参数11" </t>
  </si>
  <si>
    <t>py</t>
  </si>
  <si>
    <t>DM二维码顶部引入文件</t>
  </si>
  <si>
    <t xml:space="preserve">#!/usr/bin/env python
# -*- coding: utf-8 -*-
# 必须先安装依赖环境
from PIL import Image
import requests,os
from io import BytesIO
from pylibdmtx.pylibdmtx import encode
</t>
  </si>
  <si>
    <t>无参数</t>
  </si>
  <si>
    <t>DM二维码生成代码</t>
  </si>
  <si>
    <t>encoded = encode('参数11')
img = Image.frombytes('RGB', (encoded.width, encoded.height), encoded.pixels)
img.save(os.getcwd()+"/生成文件夹/"+'参数12.png')</t>
  </si>
  <si>
    <t>普通二维码项部引入文件</t>
  </si>
  <si>
    <t xml:space="preserve"># -*- coding: utf-8 -*-
# @Author: BlueSand
# @Email: slxxfl000@163.com
# 必须先安装依赖环境
import qrcode
import os
</t>
  </si>
  <si>
    <t>二维码生成代码(必须ide运行)</t>
  </si>
  <si>
    <t>png = qrcode.make("参数11")
png.save(os.getcwd()+"/生成文件夹/"+'参数12.png')</t>
  </si>
  <si>
    <t>cmd暂停</t>
  </si>
  <si>
    <t>ahk</t>
  </si>
  <si>
    <t>钉钉发个人消息</t>
  </si>
  <si>
    <t xml:space="preserve">CoordMode, Mouse, Screen
if (x1 &gt; 0) {
}else{
  msgbox % "因技术限制，此操作需要手动操作。"
}
TrayTip,,% "请在3秒内将光标移动到搜索框。"
mousemove,x1, y1 
Sleep % 3000
MouseGetPos, x1, y1 
Send, {LButton}
Send, {Backspace 9}
Sleep % 500
SendInput % "{TEXT}" . "参数01"
Sleep % 1500
Send, {Enter}
Sleep % 500
Send, {Backspace 99}
Sleep % 1000
SendInput % "{TEXT}" . "参数11"
Sleep % 500
SendInput % "{TEXT}" . ""
Sleep % 500
Send, {Enter}
</t>
  </si>
  <si>
    <t>参数07：钉钉的姓名，参数11：要发送的消息</t>
  </si>
  <si>
    <t>输姓名并回车（ding通知，加群）</t>
  </si>
  <si>
    <t xml:space="preserve">;----------------参数01-----------------
if (flag &lt;&gt; 1) {
  msgbox % "请先选好操作界面，点击“确认”后，3秒后进行操作。"
  TrayTip,,% "请3秒内将光标移动到指定搜索框。"
  Sleep % 3000
  flag := 1
}
;点击并删除原有数据
Click %x1%, %y1%, 1
Sleep % 500
;输入姓名
SendInput % "{TEXT}" . "参数01"
Sleep % 2000
;输入回车
Send, {Enter}
Sleep % 500
</t>
  </si>
  <si>
    <t>参数01：姓名</t>
  </si>
  <si>
    <t>QQ群友发消息</t>
  </si>
  <si>
    <t>; -----------------参数01---------------
; 定位QQ搜索框的坐标、群友搜索结果的坐标
CoordMode, Mouse, Screen
if (x1 &gt; 0) {
}else{
  msgbox % "因技术限制，此操作需要手动操作。"
}
; 激活聊天窗口
TrayTip,,% "请3秒内将光标移动到QQ搜索框。"
mousemove,x1, y1 
Sleep % 3000
MouseGetPos, x1, y1 
Click %x1%, %y1%, 1
Send, {LButton}
Send, {Backspace 9}
Sleep % 1000
SendInput % "{TEXT}" . "参数04"
Sleep % 3000
TrayTip,,% "请3秒内将光标移动群友的搜索结果。"
mousemove,x2, y2 
Sleep % 3000
MouseGetPos, x2, y2 
Click %x2%, %y2%, 2
Sleep % 500
; 发送消息
Send, {Backspace 99}
Sleep % 1000
SendInput % "{TEXT}" . "参数11"
Sleep % 3000</t>
  </si>
  <si>
    <r>
      <rPr>
        <sz val="11"/>
        <color theme="1"/>
        <rFont val="宋体"/>
        <charset val="134"/>
        <scheme val="minor"/>
      </rPr>
      <t>ah</t>
    </r>
    <r>
      <rPr>
        <sz val="11"/>
        <color theme="1"/>
        <rFont val="宋体"/>
        <charset val="134"/>
        <scheme val="minor"/>
      </rPr>
      <t>k</t>
    </r>
  </si>
  <si>
    <t>UrlDownloadToFile,https://api.qrserver.com/v1/create-qr-code/?size=参数03x参数03&amp;data=参数01,%A_ScriptDir%\参数02
Sleep % 500</t>
  </si>
  <si>
    <t>参数01：二维码的内容，参数02：生成文件名，参数03：二维码大小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</si>
</sst>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31">
    <font>
      <sz val="11"/>
      <color theme="1"/>
      <name val="宋体"/>
      <charset val="134"/>
      <scheme val="minor"/>
    </font>
    <font>
      <b/>
      <sz val="11"/>
      <color theme="3" tint="0.39957884456923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Arial Unicode MS"/>
      <charset val="134"/>
    </font>
    <font>
      <sz val="11"/>
      <color rgb="FF333333"/>
      <name val="Arial"/>
      <charset val="134"/>
    </font>
    <font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rgb="FF333333"/>
      <name val="宋体"/>
      <charset val="134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9"/>
      <name val="宋体"/>
      <charset val="134"/>
    </font>
    <font>
      <b/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798577837458"/>
        <bgColor indexed="64"/>
      </patternFill>
    </fill>
    <fill>
      <patternFill patternType="solid">
        <fgColor theme="3" tint="0.79985961485641"/>
        <bgColor indexed="64"/>
      </patternFill>
    </fill>
    <fill>
      <patternFill patternType="solid">
        <fgColor theme="3" tint="0.79976805932798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3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26" fillId="31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/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1" borderId="10" applyNumberFormat="0" applyFont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2" fillId="20" borderId="11" applyNumberFormat="0" applyAlignment="0" applyProtection="0">
      <alignment vertical="center"/>
    </xf>
    <xf numFmtId="0" fontId="19" fillId="20" borderId="9" applyNumberFormat="0" applyAlignment="0" applyProtection="0">
      <alignment vertical="center"/>
    </xf>
    <xf numFmtId="0" fontId="25" fillId="30" borderId="13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33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3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0" fontId="0" fillId="0" borderId="1" xfId="0" applyNumberFormat="1" applyBorder="1" applyAlignment="1">
      <alignment horizontal="center" vertical="center" shrinkToFit="1"/>
    </xf>
    <xf numFmtId="0" fontId="0" fillId="2" borderId="2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0" borderId="3" xfId="0" applyNumberFormat="1" applyFon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3" fillId="0" borderId="4" xfId="10" applyNumberFormat="1" applyBorder="1" applyAlignment="1">
      <alignment vertical="center" shrinkToFit="1"/>
    </xf>
    <xf numFmtId="0" fontId="2" fillId="0" borderId="0" xfId="0" applyNumberFormat="1" applyFont="1" applyFill="1" applyBorder="1" applyAlignment="1">
      <alignment horizontal="left" vertical="center"/>
    </xf>
    <xf numFmtId="0" fontId="0" fillId="3" borderId="0" xfId="0" applyFill="1" applyBorder="1" applyAlignment="1">
      <alignment vertical="center"/>
    </xf>
    <xf numFmtId="0" fontId="0" fillId="3" borderId="0" xfId="0" applyFill="1"/>
    <xf numFmtId="0" fontId="3" fillId="3" borderId="0" xfId="10" applyFill="1"/>
    <xf numFmtId="0" fontId="0" fillId="0" borderId="0" xfId="0" applyNumberFormat="1" applyAlignment="1">
      <alignment horizontal="center" vertical="center" shrinkToFit="1"/>
    </xf>
    <xf numFmtId="0" fontId="4" fillId="0" borderId="5" xfId="0" applyNumberFormat="1" applyFont="1" applyBorder="1" applyAlignment="1" applyProtection="1">
      <alignment horizontal="center" vertical="center" shrinkToFit="1"/>
    </xf>
    <xf numFmtId="0" fontId="0" fillId="0" borderId="5" xfId="0" applyNumberFormat="1" applyBorder="1" applyAlignment="1" applyProtection="1">
      <alignment horizontal="center" vertical="center" shrinkToFit="1"/>
    </xf>
    <xf numFmtId="0" fontId="3" fillId="0" borderId="5" xfId="10" applyNumberFormat="1" applyBorder="1" applyAlignment="1" applyProtection="1">
      <alignment horizontal="center" vertical="center" shrinkToFit="1"/>
    </xf>
    <xf numFmtId="0" fontId="0" fillId="0" borderId="0" xfId="0" applyNumberFormat="1" applyFont="1" applyAlignment="1">
      <alignment horizontal="center" vertical="center" shrinkToFit="1"/>
    </xf>
    <xf numFmtId="0" fontId="3" fillId="0" borderId="0" xfId="10" applyNumberFormat="1" applyAlignment="1">
      <alignment horizontal="center" vertical="center" shrinkToFit="1"/>
    </xf>
    <xf numFmtId="0" fontId="4" fillId="0" borderId="0" xfId="0" applyNumberFormat="1" applyFont="1" applyBorder="1" applyAlignment="1" applyProtection="1">
      <alignment horizontal="center" vertical="center" shrinkToFit="1"/>
    </xf>
    <xf numFmtId="0" fontId="0" fillId="0" borderId="0" xfId="0" applyNumberFormat="1" applyAlignment="1" applyProtection="1">
      <alignment horizontal="center" vertical="center" shrinkToFit="1"/>
    </xf>
    <xf numFmtId="0" fontId="4" fillId="0" borderId="0" xfId="0" applyNumberFormat="1" applyFont="1" applyAlignment="1" applyProtection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/>
    </xf>
    <xf numFmtId="0" fontId="0" fillId="4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>
      <alignment vertical="center" shrinkToFit="1"/>
    </xf>
    <xf numFmtId="0" fontId="0" fillId="3" borderId="0" xfId="0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 shrinkToFit="1"/>
    </xf>
    <xf numFmtId="0" fontId="0" fillId="0" borderId="0" xfId="0" applyFont="1" applyFill="1" applyAlignment="1">
      <alignment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shrinkToFit="1"/>
    </xf>
    <xf numFmtId="0" fontId="7" fillId="3" borderId="0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 vertical="center" shrinkToFit="1"/>
    </xf>
    <xf numFmtId="0" fontId="8" fillId="0" borderId="0" xfId="0" applyFont="1" applyFill="1" applyBorder="1" applyAlignment="1">
      <alignment vertical="center" wrapText="1"/>
    </xf>
    <xf numFmtId="0" fontId="0" fillId="4" borderId="0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 shrinkToFit="1"/>
    </xf>
    <xf numFmtId="0" fontId="0" fillId="4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6" fillId="0" borderId="0" xfId="0" applyFont="1" applyFill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 shrinkToFit="1"/>
    </xf>
    <xf numFmtId="0" fontId="9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/>
    </xf>
    <xf numFmtId="0" fontId="6" fillId="4" borderId="0" xfId="0" applyFont="1" applyFill="1" applyBorder="1" applyAlignment="1">
      <alignment vertical="center" shrinkToFit="1"/>
    </xf>
    <xf numFmtId="0" fontId="0" fillId="5" borderId="0" xfId="0" applyFont="1" applyFill="1" applyBorder="1" applyAlignment="1">
      <alignment vertical="center" shrinkToFit="1"/>
    </xf>
    <xf numFmtId="0" fontId="3" fillId="0" borderId="0" xfId="10" applyFill="1" applyBorder="1" applyAlignment="1">
      <alignment vertical="center" shrinkToFit="1"/>
    </xf>
    <xf numFmtId="14" fontId="0" fillId="0" borderId="0" xfId="0" applyNumberFormat="1" applyFill="1" applyBorder="1" applyAlignment="1">
      <alignment vertical="center" shrinkToFit="1"/>
    </xf>
    <xf numFmtId="0" fontId="0" fillId="6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left" vertical="center" wrapText="1"/>
    </xf>
    <xf numFmtId="0" fontId="0" fillId="7" borderId="0" xfId="0" applyFill="1" applyBorder="1" applyAlignment="1">
      <alignment vertical="top" wrapText="1"/>
    </xf>
    <xf numFmtId="0" fontId="0" fillId="6" borderId="0" xfId="0" applyFont="1" applyFill="1" applyBorder="1" applyAlignment="1">
      <alignment horizontal="center" vertical="center"/>
    </xf>
    <xf numFmtId="0" fontId="0" fillId="6" borderId="0" xfId="0" applyFont="1" applyFill="1" applyBorder="1" applyAlignment="1">
      <alignment vertical="center"/>
    </xf>
    <xf numFmtId="0" fontId="10" fillId="0" borderId="0" xfId="0" applyFont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8" fillId="0" borderId="0" xfId="0" applyFont="1" applyFill="1" applyBorder="1" applyAlignment="1">
      <alignment vertical="center" wrapText="1" shrinkToFit="1"/>
    </xf>
    <xf numFmtId="0" fontId="0" fillId="6" borderId="0" xfId="0" applyFont="1" applyFill="1" applyBorder="1" applyAlignment="1">
      <alignment vertical="center" shrinkToFit="1"/>
    </xf>
    <xf numFmtId="0" fontId="0" fillId="6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wrapText="1" shrinkToFit="1"/>
    </xf>
    <xf numFmtId="0" fontId="2" fillId="0" borderId="0" xfId="0" applyFont="1" applyFill="1" applyBorder="1" applyAlignment="1">
      <alignment horizontal="center" vertical="center"/>
    </xf>
    <xf numFmtId="0" fontId="0" fillId="0" borderId="5" xfId="0" applyNumberFormat="1" applyBorder="1" applyAlignment="1" applyProtection="1" quotePrefix="1">
      <alignment horizontal="center" vertical="center" shrinkToFit="1"/>
    </xf>
    <xf numFmtId="0" fontId="0" fillId="0" borderId="0" xfId="0" quotePrefix="1"/>
  </cellXfs>
  <cellStyles count="53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超链接 2" xf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1.xml"/><Relationship Id="rId6" Type="http://schemas.openxmlformats.org/officeDocument/2006/relationships/connections" Target="connections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371475</xdr:colOff>
          <xdr:row>0</xdr:row>
          <xdr:rowOff>9525</xdr:rowOff>
        </xdr:from>
        <xdr:to>
          <xdr:col>3</xdr:col>
          <xdr:colOff>343461</xdr:colOff>
          <xdr:row>0</xdr:row>
          <xdr:rowOff>409575</xdr:rowOff>
        </xdr:to>
        <xdr:sp macro="[0]!单脚本_生成所在行并执行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3933825" y="9525"/>
              <a:ext cx="962025" cy="4000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400610</xdr:colOff>
          <xdr:row>0</xdr:row>
          <xdr:rowOff>0</xdr:rowOff>
        </xdr:from>
        <xdr:to>
          <xdr:col>8</xdr:col>
          <xdr:colOff>113180</xdr:colOff>
          <xdr:row>0</xdr:row>
          <xdr:rowOff>419100</xdr:rowOff>
        </xdr:to>
        <xdr:sp macro="[0]!单脚本_批量替换并执行文件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6324600" y="0"/>
              <a:ext cx="118935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0</xdr:rowOff>
        </xdr:from>
        <xdr:to>
          <xdr:col>12</xdr:col>
          <xdr:colOff>733425</xdr:colOff>
          <xdr:row>0</xdr:row>
          <xdr:rowOff>371475</xdr:rowOff>
        </xdr:to>
        <xdr:sp macro="[0]!结束脚本">
          <xdr:nvSpPr>
            <xdr:cNvPr id="33798" name="Button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>
            <a:xfrm>
              <a:off x="11296650" y="0"/>
              <a:ext cx="876300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0</xdr:row>
          <xdr:rowOff>0</xdr:rowOff>
        </xdr:from>
        <xdr:to>
          <xdr:col>2</xdr:col>
          <xdr:colOff>342900</xdr:colOff>
          <xdr:row>0</xdr:row>
          <xdr:rowOff>419100</xdr:rowOff>
        </xdr:to>
        <xdr:sp macro="[0]!单脚本_生成所在行并打开">
          <xdr:nvSpPr>
            <xdr:cNvPr id="33799" name="Button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>
            <a:xfrm>
              <a:off x="2714625" y="0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448236</xdr:colOff>
          <xdr:row>0</xdr:row>
          <xdr:rowOff>0</xdr:rowOff>
        </xdr:from>
        <xdr:to>
          <xdr:col>5</xdr:col>
          <xdr:colOff>267260</xdr:colOff>
          <xdr:row>0</xdr:row>
          <xdr:rowOff>419100</xdr:rowOff>
        </xdr:to>
        <xdr:sp macro="[0]!单脚本_批量替换并打开文件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5000625" y="0"/>
              <a:ext cx="1190625" cy="4191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600075</xdr:colOff>
          <xdr:row>0</xdr:row>
          <xdr:rowOff>0</xdr:rowOff>
        </xdr:from>
        <xdr:to>
          <xdr:col>9</xdr:col>
          <xdr:colOff>200025</xdr:colOff>
          <xdr:row>0</xdr:row>
          <xdr:rowOff>466725</xdr:rowOff>
        </xdr:to>
        <xdr:sp macro="[0]!多脚本_生成所在行并执行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6276975" y="0"/>
              <a:ext cx="93345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执行单元格所在行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180975</xdr:colOff>
          <xdr:row>0</xdr:row>
          <xdr:rowOff>0</xdr:rowOff>
        </xdr:from>
        <xdr:to>
          <xdr:col>7</xdr:col>
          <xdr:colOff>381000</xdr:colOff>
          <xdr:row>0</xdr:row>
          <xdr:rowOff>466725</xdr:rowOff>
        </xdr:to>
        <xdr:sp macro="[0]!多脚本_生成所在行并打开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>
            <a:xfrm>
              <a:off x="5191125" y="0"/>
              <a:ext cx="866775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打开所在行脚本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0</xdr:row>
          <xdr:rowOff>9525</xdr:rowOff>
        </xdr:from>
        <xdr:to>
          <xdr:col>10</xdr:col>
          <xdr:colOff>647700</xdr:colOff>
          <xdr:row>0</xdr:row>
          <xdr:rowOff>466725</xdr:rowOff>
        </xdr:to>
        <xdr:sp macro="[0]!多脚本_批量替换并打开文件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>
            <a:xfrm>
              <a:off x="7543800" y="9525"/>
              <a:ext cx="933450" cy="4572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批量打开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771525</xdr:colOff>
          <xdr:row>0</xdr:row>
          <xdr:rowOff>9525</xdr:rowOff>
        </xdr:from>
        <xdr:to>
          <xdr:col>11</xdr:col>
          <xdr:colOff>733425</xdr:colOff>
          <xdr:row>0</xdr:row>
          <xdr:rowOff>466725</xdr:rowOff>
        </xdr:to>
        <xdr:sp macro="[0]!多脚本_批量替换并执行文件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>
            <a:xfrm>
              <a:off x="8601075" y="9525"/>
              <a:ext cx="923925" cy="4572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批量执行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762000</xdr:colOff>
          <xdr:row>0</xdr:row>
          <xdr:rowOff>9525</xdr:rowOff>
        </xdr:from>
        <xdr:to>
          <xdr:col>11</xdr:col>
          <xdr:colOff>1657350</xdr:colOff>
          <xdr:row>0</xdr:row>
          <xdr:rowOff>447675</xdr:rowOff>
        </xdr:to>
        <xdr:sp macro="[0]!结束脚本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>
            <a:xfrm>
              <a:off x="9553575" y="9525"/>
              <a:ext cx="895350" cy="4381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438150</xdr:colOff>
          <xdr:row>0</xdr:row>
          <xdr:rowOff>0</xdr:rowOff>
        </xdr:from>
        <xdr:to>
          <xdr:col>13</xdr:col>
          <xdr:colOff>381000</xdr:colOff>
          <xdr:row>0</xdr:row>
          <xdr:rowOff>466725</xdr:rowOff>
        </xdr:to>
        <xdr:sp macro="[0]!获取当前文件夹的文件列表信息">
          <xdr:nvSpPr>
            <xdr:cNvPr id="34822" name="Button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>
            <a:xfrm>
              <a:off x="11163300" y="0"/>
              <a:ext cx="933450" cy="4667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获取文件列表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istrator\Desktop\&#25209;&#37327;&#21457;&#28040;&#24687;\18.&#35843;&#29992;&#33050;&#26412;&#25191;&#34892;\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常用代码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ExternalData_1016" adjustColumnWidth="0" connectionId="5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2.xml><?xml version="1.0" encoding="utf-8"?>
<queryTable xmlns="http://schemas.openxmlformats.org/spreadsheetml/2006/main" name="ExternalData_998" adjustColumnWidth="0" connectionId="2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3.xml><?xml version="1.0" encoding="utf-8"?>
<queryTable xmlns="http://schemas.openxmlformats.org/spreadsheetml/2006/main" name="ExternalData_1000" adjustColumnWidth="0" connectionId="4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4.xml><?xml version="1.0" encoding="utf-8"?>
<queryTable xmlns="http://schemas.openxmlformats.org/spreadsheetml/2006/main" name="ExternalData_1014" adjustColumnWidth="0" connectionId="3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5.xml><?xml version="1.0" encoding="utf-8"?>
<queryTable xmlns="http://schemas.openxmlformats.org/spreadsheetml/2006/main" name="ExternalData_1_2" adjustColumnWidth="0" connectionId="1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6.xml><?xml version="1.0" encoding="utf-8"?>
<queryTable xmlns="http://schemas.openxmlformats.org/spreadsheetml/2006/main" name="ExternalData_1017" adjustColumnWidth="0" connectionId="6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7.xml><?xml version="1.0" encoding="utf-8"?>
<queryTable xmlns="http://schemas.openxmlformats.org/spreadsheetml/2006/main" name="ExternalData_990" adjustColumnWidth="0" connectionId="7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7" Type="http://schemas.openxmlformats.org/officeDocument/2006/relationships/ctrlProp" Target="../ctrlProps/ctrlProp10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7.xml"/><Relationship Id="rId8" Type="http://schemas.openxmlformats.org/officeDocument/2006/relationships/queryTable" Target="../queryTables/queryTable6.xml"/><Relationship Id="rId7" Type="http://schemas.openxmlformats.org/officeDocument/2006/relationships/queryTable" Target="../queryTables/queryTable5.xm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Relationship Id="rId3" Type="http://schemas.openxmlformats.org/officeDocument/2006/relationships/queryTable" Target="../queryTables/queryTable1.xml"/><Relationship Id="rId2" Type="http://schemas.openxmlformats.org/officeDocument/2006/relationships/hyperlink" Target="mailto:222222@qq.com" TargetMode="External"/><Relationship Id="rId1" Type="http://schemas.openxmlformats.org/officeDocument/2006/relationships/hyperlink" Target="mailto:111111@qq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R336"/>
  <sheetViews>
    <sheetView tabSelected="1" zoomScale="85" zoomScaleNormal="85" workbookViewId="0">
      <selection activeCell="F37" sqref="F37"/>
    </sheetView>
  </sheetViews>
  <sheetFormatPr defaultColWidth="9" defaultRowHeight="13.5"/>
  <cols>
    <col min="1" max="1" width="34.125" style="56" customWidth="1"/>
    <col min="2" max="2" width="12.625" style="32" customWidth="1"/>
    <col min="3" max="3" width="13" style="32" customWidth="1"/>
    <col min="4" max="4" width="7.5" style="32" customWidth="1"/>
    <col min="5" max="5" width="10.5" style="32" customWidth="1"/>
    <col min="6" max="6" width="7.5" style="32" customWidth="1"/>
    <col min="7" max="7" width="7" style="32" customWidth="1"/>
    <col min="8" max="10" width="4.875" style="32" customWidth="1"/>
    <col min="11" max="11" width="39.375" style="29" customWidth="1"/>
    <col min="12" max="12" width="3.875" style="29" customWidth="1"/>
    <col min="13" max="13" width="38.25" style="29" customWidth="1"/>
    <col min="14" max="18" width="9" style="29"/>
    <col min="19" max="16384" width="9" style="32"/>
  </cols>
  <sheetData>
    <row r="1" ht="37.5" customHeight="1" spans="1:2">
      <c r="A1" s="57" t="s">
        <v>0</v>
      </c>
      <c r="B1" s="32" t="str">
        <f>"脚本"&amp;"."&amp;INDEX(常用代码!B:B,MATCH(A1,常用代码!C:C,0))</f>
        <v>脚本.ahk</v>
      </c>
    </row>
    <row r="2" s="30" customFormat="1" ht="39.95" customHeight="1" spans="1:18">
      <c r="A2" s="58" t="str">
        <f>IF(ISERROR(VLOOKUP(A1,常用代码!C:H,4,FALSE)&amp;""),"",VLOOKUP(A1,常用代码!C:H,4,FALSE)&amp;"")</f>
        <v>参数01：二维码的内容，参数02：生成文件名，参数03：二维码大小</v>
      </c>
      <c r="B2" s="58"/>
      <c r="C2" s="58"/>
      <c r="D2" s="58"/>
      <c r="E2" s="58"/>
      <c r="F2" s="58"/>
      <c r="G2" s="58"/>
      <c r="H2" s="58"/>
      <c r="I2" s="58"/>
      <c r="J2" s="58"/>
      <c r="K2" s="66"/>
      <c r="L2" s="66"/>
      <c r="M2" s="66"/>
      <c r="N2" s="48"/>
      <c r="O2" s="48"/>
      <c r="P2" s="48"/>
      <c r="Q2" s="48"/>
      <c r="R2" s="48"/>
    </row>
    <row r="3" hidden="1" spans="1:2">
      <c r="A3" s="56" t="s">
        <v>0</v>
      </c>
      <c r="B3" s="32" t="str">
        <f>IF(ISERROR(VLOOKUP(A3,常用代码!C:E,2,FALSE)),"",VLOOKUP(A3,常用代码!C:E,2,FALSE))</f>
        <v>UrlDownloadToFile,https://api.qrserver.com/v1/create-qr-code/?size=参数03x参数03&amp;data=参数01,%A_ScriptDir%\参数02
Sleep % 500</v>
      </c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70.9" hidden="1" customHeight="1" spans="1:4">
      <c r="A18" s="57"/>
      <c r="B18" s="59"/>
      <c r="C18" s="59"/>
      <c r="D18" s="59"/>
    </row>
    <row r="19" s="55" customFormat="1" ht="16.9" customHeight="1" spans="1:18">
      <c r="A19" s="60" t="s">
        <v>1</v>
      </c>
      <c r="B19" s="61" t="s">
        <v>2</v>
      </c>
      <c r="C19" s="61" t="s">
        <v>3</v>
      </c>
      <c r="D19" s="61" t="s">
        <v>4</v>
      </c>
      <c r="E19" s="61" t="s">
        <v>5</v>
      </c>
      <c r="F19" s="61" t="s">
        <v>6</v>
      </c>
      <c r="G19" s="61" t="s">
        <v>7</v>
      </c>
      <c r="H19" s="61" t="s">
        <v>8</v>
      </c>
      <c r="I19" s="61" t="s">
        <v>9</v>
      </c>
      <c r="J19" s="61" t="s">
        <v>10</v>
      </c>
      <c r="K19" s="67" t="s">
        <v>11</v>
      </c>
      <c r="L19" s="67" t="s">
        <v>12</v>
      </c>
      <c r="M19" s="67" t="s">
        <v>13</v>
      </c>
      <c r="N19" s="67" t="s">
        <v>14</v>
      </c>
      <c r="O19" s="67" t="s">
        <v>15</v>
      </c>
      <c r="P19" s="68"/>
      <c r="Q19" s="68"/>
      <c r="R19" s="68"/>
    </row>
    <row r="20" s="55" customFormat="1" ht="16.9" customHeight="1" spans="1:18">
      <c r="A20" s="60" t="s">
        <v>16</v>
      </c>
      <c r="B20" s="61" t="s">
        <v>17</v>
      </c>
      <c r="C20" s="61" t="s">
        <v>18</v>
      </c>
      <c r="E20" s="61"/>
      <c r="G20" s="61"/>
      <c r="K20" s="68"/>
      <c r="L20" s="68"/>
      <c r="M20" s="68"/>
      <c r="N20" s="68"/>
      <c r="O20" s="68"/>
      <c r="P20" s="68"/>
      <c r="Q20" s="68"/>
      <c r="R20" s="68"/>
    </row>
    <row r="21" s="30" customFormat="1" spans="1:18">
      <c r="A21" s="62" t="s">
        <v>19</v>
      </c>
      <c r="B21" s="41" t="str">
        <f>A21&amp;".jpg"</f>
        <v>老黄牛1.jpg</v>
      </c>
      <c r="C21" s="63">
        <v>150</v>
      </c>
      <c r="D21" s="41"/>
      <c r="E21" s="41"/>
      <c r="F21" s="41"/>
      <c r="G21" s="41"/>
      <c r="H21" s="41"/>
      <c r="I21" s="41"/>
      <c r="J21" s="41"/>
      <c r="K21" s="66"/>
      <c r="L21" s="48"/>
      <c r="M21" s="69"/>
      <c r="N21" s="48"/>
      <c r="O21" s="69"/>
      <c r="P21" s="48"/>
      <c r="Q21" s="48"/>
      <c r="R21" s="48"/>
    </row>
    <row r="22" s="30" customFormat="1" spans="1:18">
      <c r="A22" s="62" t="s">
        <v>20</v>
      </c>
      <c r="B22" s="41" t="str">
        <f t="shared" ref="B22:B27" si="0">A22&amp;".jpg"</f>
        <v>老黄牛2.jpg</v>
      </c>
      <c r="C22" s="63">
        <v>150</v>
      </c>
      <c r="D22" s="41"/>
      <c r="E22" s="41"/>
      <c r="F22" s="41"/>
      <c r="G22" s="41"/>
      <c r="H22" s="41"/>
      <c r="I22" s="41"/>
      <c r="J22" s="41"/>
      <c r="K22" s="66"/>
      <c r="L22" s="48"/>
      <c r="M22" s="69"/>
      <c r="N22" s="48"/>
      <c r="O22" s="69"/>
      <c r="P22" s="48"/>
      <c r="Q22" s="48"/>
      <c r="R22" s="48"/>
    </row>
    <row r="23" s="30" customFormat="1" spans="1:18">
      <c r="A23" s="62" t="s">
        <v>21</v>
      </c>
      <c r="B23" s="41" t="str">
        <f t="shared" si="0"/>
        <v>老黄牛3.jpg</v>
      </c>
      <c r="C23" s="63">
        <v>150</v>
      </c>
      <c r="D23" s="41"/>
      <c r="E23" s="41"/>
      <c r="F23" s="41"/>
      <c r="G23" s="41"/>
      <c r="H23" s="41"/>
      <c r="I23" s="41"/>
      <c r="J23" s="41"/>
      <c r="K23" s="66"/>
      <c r="L23" s="48"/>
      <c r="M23" s="69"/>
      <c r="N23" s="48"/>
      <c r="O23" s="48"/>
      <c r="P23" s="48"/>
      <c r="Q23" s="48"/>
      <c r="R23" s="48"/>
    </row>
    <row r="24" s="30" customFormat="1" spans="1:18">
      <c r="A24" s="62" t="s">
        <v>22</v>
      </c>
      <c r="B24" s="41" t="str">
        <f t="shared" si="0"/>
        <v>老黄牛4.jpg</v>
      </c>
      <c r="C24" s="63">
        <v>150</v>
      </c>
      <c r="D24" s="41"/>
      <c r="E24" s="41"/>
      <c r="F24" s="41"/>
      <c r="G24" s="41"/>
      <c r="H24" s="41"/>
      <c r="I24" s="41"/>
      <c r="J24" s="41"/>
      <c r="K24" s="66"/>
      <c r="L24" s="48"/>
      <c r="M24" s="69"/>
      <c r="N24" s="48"/>
      <c r="O24" s="48"/>
      <c r="P24" s="48"/>
      <c r="Q24" s="48"/>
      <c r="R24" s="48"/>
    </row>
    <row r="25" s="30" customFormat="1" spans="1:18">
      <c r="A25" s="62" t="s">
        <v>23</v>
      </c>
      <c r="B25" s="41" t="str">
        <f t="shared" si="0"/>
        <v>老黄牛5.jpg</v>
      </c>
      <c r="C25" s="63">
        <v>150</v>
      </c>
      <c r="D25" s="41"/>
      <c r="E25" s="41"/>
      <c r="F25" s="41"/>
      <c r="G25" s="41"/>
      <c r="H25" s="41"/>
      <c r="I25" s="41"/>
      <c r="J25" s="41"/>
      <c r="K25" s="66"/>
      <c r="L25" s="48"/>
      <c r="M25" s="69"/>
      <c r="N25" s="48"/>
      <c r="O25" s="48"/>
      <c r="P25" s="48"/>
      <c r="Q25" s="48"/>
      <c r="R25" s="48"/>
    </row>
    <row r="26" s="30" customFormat="1" spans="1:18">
      <c r="A26" s="62" t="s">
        <v>24</v>
      </c>
      <c r="B26" s="41" t="str">
        <f t="shared" si="0"/>
        <v>老黄牛6.jpg</v>
      </c>
      <c r="C26" s="63">
        <v>150</v>
      </c>
      <c r="D26" s="41"/>
      <c r="E26" s="41"/>
      <c r="F26" s="41"/>
      <c r="G26" s="41"/>
      <c r="H26" s="41"/>
      <c r="I26" s="41"/>
      <c r="J26" s="41"/>
      <c r="K26" s="66"/>
      <c r="L26" s="48"/>
      <c r="M26" s="69"/>
      <c r="N26" s="48"/>
      <c r="O26" s="48"/>
      <c r="P26" s="48"/>
      <c r="Q26" s="48"/>
      <c r="R26" s="48"/>
    </row>
    <row r="27" s="30" customFormat="1" spans="1:18">
      <c r="A27" s="62" t="s">
        <v>25</v>
      </c>
      <c r="B27" s="41" t="str">
        <f t="shared" si="0"/>
        <v>老黄牛7.jpg</v>
      </c>
      <c r="C27" s="63">
        <v>150</v>
      </c>
      <c r="D27" s="41"/>
      <c r="E27" s="41"/>
      <c r="F27" s="41"/>
      <c r="G27" s="41"/>
      <c r="H27" s="41"/>
      <c r="I27" s="41"/>
      <c r="J27" s="41"/>
      <c r="K27" s="66"/>
      <c r="L27" s="48"/>
      <c r="M27" s="69"/>
      <c r="N27" s="48"/>
      <c r="O27" s="48"/>
      <c r="P27" s="48"/>
      <c r="Q27" s="48"/>
      <c r="R27" s="48"/>
    </row>
    <row r="28" s="30" customFormat="1" spans="1:18">
      <c r="A28" s="64"/>
      <c r="B28" s="41"/>
      <c r="C28" s="41"/>
      <c r="D28" s="41"/>
      <c r="E28" s="41"/>
      <c r="F28" s="41"/>
      <c r="G28" s="41"/>
      <c r="H28" s="41"/>
      <c r="I28" s="41"/>
      <c r="J28" s="41"/>
      <c r="K28" s="48"/>
      <c r="L28" s="48"/>
      <c r="M28" s="48"/>
      <c r="N28" s="48"/>
      <c r="O28" s="48"/>
      <c r="P28" s="48"/>
      <c r="Q28" s="48"/>
      <c r="R28" s="48"/>
    </row>
    <row r="29" s="30" customFormat="1" spans="1:18">
      <c r="A29" s="64"/>
      <c r="B29" s="41"/>
      <c r="C29" s="41"/>
      <c r="D29" s="41"/>
      <c r="E29" s="41"/>
      <c r="F29" s="41"/>
      <c r="G29" s="41"/>
      <c r="H29" s="41"/>
      <c r="I29" s="41"/>
      <c r="J29" s="41"/>
      <c r="K29" s="48"/>
      <c r="L29" s="48"/>
      <c r="M29" s="48"/>
      <c r="N29" s="48"/>
      <c r="O29" s="48"/>
      <c r="P29" s="48"/>
      <c r="Q29" s="48"/>
      <c r="R29" s="48"/>
    </row>
    <row r="30" s="30" customFormat="1" spans="1:18">
      <c r="A30" s="64"/>
      <c r="B30" s="41"/>
      <c r="C30" s="41"/>
      <c r="D30" s="41"/>
      <c r="E30" s="41"/>
      <c r="F30" s="41"/>
      <c r="G30" s="41"/>
      <c r="H30" s="41"/>
      <c r="I30" s="41"/>
      <c r="J30" s="41"/>
      <c r="K30" s="48"/>
      <c r="L30" s="48"/>
      <c r="M30" s="48"/>
      <c r="N30" s="48"/>
      <c r="O30" s="48"/>
      <c r="P30" s="48"/>
      <c r="Q30" s="48"/>
      <c r="R30" s="48"/>
    </row>
    <row r="31" s="30" customFormat="1" spans="1:18">
      <c r="A31" s="64"/>
      <c r="B31" s="41"/>
      <c r="C31" s="41"/>
      <c r="D31" s="41"/>
      <c r="E31" s="41"/>
      <c r="F31" s="41"/>
      <c r="G31" s="41"/>
      <c r="H31" s="41"/>
      <c r="I31" s="41"/>
      <c r="J31" s="41"/>
      <c r="K31" s="48"/>
      <c r="L31" s="48"/>
      <c r="M31" s="48"/>
      <c r="N31" s="48"/>
      <c r="O31" s="48"/>
      <c r="P31" s="48"/>
      <c r="Q31" s="48"/>
      <c r="R31" s="48"/>
    </row>
    <row r="32" s="30" customFormat="1" spans="1:18">
      <c r="A32" s="65"/>
      <c r="B32" s="41"/>
      <c r="C32" s="41"/>
      <c r="D32" s="41"/>
      <c r="E32" s="41"/>
      <c r="F32" s="41"/>
      <c r="G32" s="41"/>
      <c r="H32" s="41"/>
      <c r="I32" s="41"/>
      <c r="J32" s="41"/>
      <c r="K32" s="48"/>
      <c r="L32" s="48"/>
      <c r="M32" s="48"/>
      <c r="N32" s="48"/>
      <c r="O32" s="48"/>
      <c r="P32" s="48"/>
      <c r="Q32" s="48"/>
      <c r="R32" s="48"/>
    </row>
    <row r="33" s="30" customFormat="1" spans="1:18">
      <c r="A33" s="65"/>
      <c r="B33" s="41"/>
      <c r="C33" s="41"/>
      <c r="D33" s="41"/>
      <c r="E33" s="41"/>
      <c r="F33" s="41"/>
      <c r="G33" s="41"/>
      <c r="H33" s="41"/>
      <c r="I33" s="41"/>
      <c r="J33" s="41"/>
      <c r="K33" s="48"/>
      <c r="L33" s="48"/>
      <c r="M33" s="48"/>
      <c r="N33" s="48"/>
      <c r="O33" s="48"/>
      <c r="P33" s="48"/>
      <c r="Q33" s="48"/>
      <c r="R33" s="48"/>
    </row>
    <row r="34" s="30" customFormat="1" spans="1:18">
      <c r="A34" s="65"/>
      <c r="B34" s="41"/>
      <c r="C34" s="41"/>
      <c r="D34" s="41"/>
      <c r="E34" s="41"/>
      <c r="F34" s="41"/>
      <c r="G34" s="41"/>
      <c r="H34" s="41"/>
      <c r="I34" s="41"/>
      <c r="J34" s="41"/>
      <c r="K34" s="48"/>
      <c r="L34" s="48"/>
      <c r="M34" s="48"/>
      <c r="N34" s="48"/>
      <c r="O34" s="48"/>
      <c r="P34" s="48"/>
      <c r="Q34" s="48"/>
      <c r="R34" s="48"/>
    </row>
    <row r="35" s="30" customFormat="1" spans="1:18">
      <c r="A35" s="65"/>
      <c r="B35" s="41"/>
      <c r="C35" s="41"/>
      <c r="D35" s="41"/>
      <c r="E35" s="41"/>
      <c r="F35" s="41"/>
      <c r="G35" s="41"/>
      <c r="H35" s="41"/>
      <c r="I35" s="41"/>
      <c r="J35" s="41"/>
      <c r="K35" s="48"/>
      <c r="L35" s="48"/>
      <c r="M35" s="48"/>
      <c r="N35" s="48"/>
      <c r="O35" s="48"/>
      <c r="P35" s="48"/>
      <c r="Q35" s="48"/>
      <c r="R35" s="48"/>
    </row>
    <row r="36" s="30" customFormat="1" spans="1:18">
      <c r="A36" s="65"/>
      <c r="B36" s="41"/>
      <c r="C36" s="41"/>
      <c r="D36" s="41"/>
      <c r="E36" s="41"/>
      <c r="F36" s="41"/>
      <c r="G36" s="41"/>
      <c r="H36" s="41"/>
      <c r="I36" s="41"/>
      <c r="J36" s="41"/>
      <c r="K36" s="48"/>
      <c r="L36" s="48"/>
      <c r="M36" s="48"/>
      <c r="N36" s="48"/>
      <c r="O36" s="48"/>
      <c r="P36" s="48"/>
      <c r="Q36" s="48"/>
      <c r="R36" s="48"/>
    </row>
    <row r="37" s="30" customFormat="1" spans="1:18">
      <c r="A37" s="65"/>
      <c r="B37" s="41"/>
      <c r="C37" s="41"/>
      <c r="D37" s="41"/>
      <c r="E37" s="41"/>
      <c r="F37" s="41"/>
      <c r="G37" s="41"/>
      <c r="H37" s="41"/>
      <c r="I37" s="41"/>
      <c r="J37" s="41"/>
      <c r="K37" s="48"/>
      <c r="L37" s="48"/>
      <c r="M37" s="48"/>
      <c r="N37" s="48"/>
      <c r="O37" s="48"/>
      <c r="P37" s="48"/>
      <c r="Q37" s="48"/>
      <c r="R37" s="48"/>
    </row>
    <row r="38" s="30" customFormat="1" spans="1:18">
      <c r="A38" s="65"/>
      <c r="B38" s="41"/>
      <c r="C38" s="41"/>
      <c r="D38" s="41"/>
      <c r="E38" s="41"/>
      <c r="F38" s="41"/>
      <c r="G38" s="41"/>
      <c r="H38" s="41"/>
      <c r="I38" s="41"/>
      <c r="J38" s="41"/>
      <c r="K38" s="48"/>
      <c r="L38" s="48"/>
      <c r="M38" s="48"/>
      <c r="N38" s="48"/>
      <c r="O38" s="48"/>
      <c r="P38" s="48"/>
      <c r="Q38" s="48"/>
      <c r="R38" s="48"/>
    </row>
    <row r="39" s="30" customFormat="1" spans="1:18">
      <c r="A39" s="65"/>
      <c r="B39" s="41"/>
      <c r="C39" s="41"/>
      <c r="D39" s="41"/>
      <c r="E39" s="41"/>
      <c r="F39" s="41"/>
      <c r="G39" s="41"/>
      <c r="H39" s="41"/>
      <c r="I39" s="41"/>
      <c r="J39" s="41"/>
      <c r="K39" s="48"/>
      <c r="L39" s="48"/>
      <c r="M39" s="48"/>
      <c r="N39" s="48"/>
      <c r="O39" s="48"/>
      <c r="P39" s="48"/>
      <c r="Q39" s="48"/>
      <c r="R39" s="48"/>
    </row>
    <row r="40" s="30" customFormat="1" spans="1:18">
      <c r="A40" s="65"/>
      <c r="B40" s="41"/>
      <c r="C40" s="41"/>
      <c r="D40" s="41"/>
      <c r="E40" s="41"/>
      <c r="F40" s="41"/>
      <c r="G40" s="41"/>
      <c r="H40" s="41"/>
      <c r="I40" s="41"/>
      <c r="J40" s="41"/>
      <c r="K40" s="48"/>
      <c r="L40" s="48"/>
      <c r="M40" s="48"/>
      <c r="N40" s="48"/>
      <c r="O40" s="48"/>
      <c r="P40" s="48"/>
      <c r="Q40" s="48"/>
      <c r="R40" s="48"/>
    </row>
    <row r="41" s="30" customFormat="1" spans="1:18">
      <c r="A41" s="65"/>
      <c r="B41" s="41"/>
      <c r="C41" s="41"/>
      <c r="D41" s="41"/>
      <c r="E41" s="41"/>
      <c r="F41" s="41"/>
      <c r="G41" s="41"/>
      <c r="H41" s="41"/>
      <c r="I41" s="41"/>
      <c r="J41" s="41"/>
      <c r="K41" s="48"/>
      <c r="L41" s="48"/>
      <c r="M41" s="48"/>
      <c r="N41" s="48"/>
      <c r="O41" s="48"/>
      <c r="P41" s="48"/>
      <c r="Q41" s="48"/>
      <c r="R41" s="48"/>
    </row>
    <row r="42" s="30" customFormat="1" spans="1:18">
      <c r="A42" s="65"/>
      <c r="B42" s="41"/>
      <c r="C42" s="41"/>
      <c r="D42" s="41"/>
      <c r="E42" s="41"/>
      <c r="F42" s="41"/>
      <c r="G42" s="41"/>
      <c r="H42" s="41"/>
      <c r="I42" s="41"/>
      <c r="J42" s="41"/>
      <c r="K42" s="48"/>
      <c r="L42" s="48"/>
      <c r="M42" s="48"/>
      <c r="N42" s="48"/>
      <c r="O42" s="48"/>
      <c r="P42" s="48"/>
      <c r="Q42" s="48"/>
      <c r="R42" s="48"/>
    </row>
    <row r="43" s="30" customFormat="1" spans="1:18">
      <c r="A43" s="65"/>
      <c r="B43" s="41"/>
      <c r="C43" s="41"/>
      <c r="D43" s="41"/>
      <c r="E43" s="41"/>
      <c r="F43" s="41"/>
      <c r="G43" s="41"/>
      <c r="H43" s="41"/>
      <c r="I43" s="41"/>
      <c r="J43" s="41"/>
      <c r="K43" s="48"/>
      <c r="L43" s="48"/>
      <c r="M43" s="48"/>
      <c r="N43" s="48"/>
      <c r="O43" s="48"/>
      <c r="P43" s="48"/>
      <c r="Q43" s="48"/>
      <c r="R43" s="48"/>
    </row>
    <row r="44" s="30" customFormat="1" spans="1:18">
      <c r="A44" s="65"/>
      <c r="B44" s="41"/>
      <c r="C44" s="41"/>
      <c r="D44" s="41"/>
      <c r="E44" s="41"/>
      <c r="F44" s="41"/>
      <c r="G44" s="41"/>
      <c r="H44" s="41"/>
      <c r="I44" s="41"/>
      <c r="J44" s="41"/>
      <c r="K44" s="48"/>
      <c r="L44" s="48"/>
      <c r="M44" s="48"/>
      <c r="N44" s="48"/>
      <c r="O44" s="48"/>
      <c r="P44" s="48"/>
      <c r="Q44" s="48"/>
      <c r="R44" s="48"/>
    </row>
    <row r="45" s="30" customFormat="1" spans="1:18">
      <c r="A45" s="65"/>
      <c r="B45" s="41"/>
      <c r="C45" s="41"/>
      <c r="D45" s="41"/>
      <c r="E45" s="41"/>
      <c r="F45" s="41"/>
      <c r="G45" s="41"/>
      <c r="H45" s="41"/>
      <c r="I45" s="41"/>
      <c r="J45" s="41"/>
      <c r="K45" s="48"/>
      <c r="L45" s="48"/>
      <c r="M45" s="48"/>
      <c r="N45" s="48"/>
      <c r="O45" s="48"/>
      <c r="P45" s="48"/>
      <c r="Q45" s="48"/>
      <c r="R45" s="48"/>
    </row>
    <row r="46" s="30" customFormat="1" spans="1:18">
      <c r="A46" s="65"/>
      <c r="B46" s="41"/>
      <c r="C46" s="41"/>
      <c r="D46" s="41"/>
      <c r="E46" s="41"/>
      <c r="F46" s="41"/>
      <c r="G46" s="41"/>
      <c r="H46" s="41"/>
      <c r="I46" s="41"/>
      <c r="J46" s="41"/>
      <c r="K46" s="48"/>
      <c r="L46" s="48"/>
      <c r="M46" s="48"/>
      <c r="N46" s="48"/>
      <c r="O46" s="48"/>
      <c r="P46" s="48"/>
      <c r="Q46" s="48"/>
      <c r="R46" s="48"/>
    </row>
    <row r="47" s="30" customFormat="1" spans="1:18">
      <c r="A47" s="65"/>
      <c r="B47" s="41"/>
      <c r="C47" s="41"/>
      <c r="D47" s="41"/>
      <c r="E47" s="41"/>
      <c r="F47" s="41"/>
      <c r="G47" s="41"/>
      <c r="H47" s="41"/>
      <c r="I47" s="41"/>
      <c r="J47" s="41"/>
      <c r="K47" s="48"/>
      <c r="L47" s="48"/>
      <c r="M47" s="48"/>
      <c r="N47" s="48"/>
      <c r="O47" s="48"/>
      <c r="P47" s="48"/>
      <c r="Q47" s="48"/>
      <c r="R47" s="48"/>
    </row>
    <row r="48" s="30" customFormat="1" spans="1:18">
      <c r="A48" s="65"/>
      <c r="B48" s="41"/>
      <c r="C48" s="41"/>
      <c r="D48" s="41"/>
      <c r="E48" s="41"/>
      <c r="F48" s="41"/>
      <c r="G48" s="41"/>
      <c r="H48" s="41"/>
      <c r="I48" s="41"/>
      <c r="J48" s="41"/>
      <c r="K48" s="48"/>
      <c r="L48" s="48"/>
      <c r="M48" s="48"/>
      <c r="N48" s="48"/>
      <c r="O48" s="48"/>
      <c r="P48" s="48"/>
      <c r="Q48" s="48"/>
      <c r="R48" s="48"/>
    </row>
    <row r="49" s="30" customFormat="1" spans="1:18">
      <c r="A49" s="65"/>
      <c r="B49" s="41"/>
      <c r="C49" s="41"/>
      <c r="D49" s="41"/>
      <c r="E49" s="41"/>
      <c r="F49" s="41"/>
      <c r="G49" s="41"/>
      <c r="H49" s="41"/>
      <c r="I49" s="41"/>
      <c r="J49" s="41"/>
      <c r="K49" s="48"/>
      <c r="L49" s="48"/>
      <c r="M49" s="48"/>
      <c r="N49" s="48"/>
      <c r="O49" s="48"/>
      <c r="P49" s="48"/>
      <c r="Q49" s="48"/>
      <c r="R49" s="48"/>
    </row>
    <row r="50" s="30" customFormat="1" spans="1:18">
      <c r="A50" s="65"/>
      <c r="B50" s="41"/>
      <c r="C50" s="41"/>
      <c r="D50" s="41"/>
      <c r="E50" s="41"/>
      <c r="F50" s="41"/>
      <c r="G50" s="41"/>
      <c r="H50" s="41"/>
      <c r="I50" s="41"/>
      <c r="J50" s="41"/>
      <c r="K50" s="48"/>
      <c r="L50" s="48"/>
      <c r="M50" s="48"/>
      <c r="N50" s="48"/>
      <c r="O50" s="48"/>
      <c r="P50" s="48"/>
      <c r="Q50" s="48"/>
      <c r="R50" s="48"/>
    </row>
    <row r="51" s="30" customFormat="1" spans="1:18">
      <c r="A51" s="65"/>
      <c r="B51" s="41"/>
      <c r="C51" s="41"/>
      <c r="D51" s="41"/>
      <c r="E51" s="41"/>
      <c r="F51" s="41"/>
      <c r="G51" s="41"/>
      <c r="H51" s="41"/>
      <c r="I51" s="41"/>
      <c r="J51" s="41"/>
      <c r="K51" s="48"/>
      <c r="L51" s="48"/>
      <c r="M51" s="48"/>
      <c r="N51" s="48"/>
      <c r="O51" s="48"/>
      <c r="P51" s="48"/>
      <c r="Q51" s="48"/>
      <c r="R51" s="48"/>
    </row>
    <row r="52" s="30" customFormat="1" spans="1:18">
      <c r="A52" s="65"/>
      <c r="B52" s="41"/>
      <c r="C52" s="41"/>
      <c r="D52" s="41"/>
      <c r="E52" s="41"/>
      <c r="F52" s="41"/>
      <c r="G52" s="41"/>
      <c r="H52" s="41"/>
      <c r="I52" s="41"/>
      <c r="J52" s="41"/>
      <c r="K52" s="48"/>
      <c r="L52" s="48"/>
      <c r="M52" s="48"/>
      <c r="N52" s="48"/>
      <c r="O52" s="48"/>
      <c r="P52" s="48"/>
      <c r="Q52" s="48"/>
      <c r="R52" s="48"/>
    </row>
    <row r="53" s="30" customFormat="1" spans="1:18">
      <c r="A53" s="65"/>
      <c r="B53" s="41"/>
      <c r="C53" s="41"/>
      <c r="D53" s="41"/>
      <c r="E53" s="41"/>
      <c r="F53" s="41"/>
      <c r="G53" s="41"/>
      <c r="H53" s="41"/>
      <c r="I53" s="41"/>
      <c r="J53" s="41"/>
      <c r="K53" s="48"/>
      <c r="L53" s="48"/>
      <c r="M53" s="48"/>
      <c r="N53" s="48"/>
      <c r="O53" s="48"/>
      <c r="P53" s="48"/>
      <c r="Q53" s="48"/>
      <c r="R53" s="48"/>
    </row>
    <row r="54" s="30" customFormat="1" spans="1:18">
      <c r="A54" s="65"/>
      <c r="B54" s="41"/>
      <c r="C54" s="41"/>
      <c r="D54" s="41"/>
      <c r="E54" s="41"/>
      <c r="F54" s="41"/>
      <c r="G54" s="41"/>
      <c r="H54" s="41"/>
      <c r="I54" s="41"/>
      <c r="J54" s="41"/>
      <c r="K54" s="48"/>
      <c r="L54" s="48"/>
      <c r="M54" s="48"/>
      <c r="N54" s="48"/>
      <c r="O54" s="48"/>
      <c r="P54" s="48"/>
      <c r="Q54" s="48"/>
      <c r="R54" s="48"/>
    </row>
    <row r="55" s="30" customFormat="1" spans="1:18">
      <c r="A55" s="65"/>
      <c r="B55" s="41"/>
      <c r="C55" s="41"/>
      <c r="D55" s="41"/>
      <c r="E55" s="41"/>
      <c r="F55" s="41"/>
      <c r="G55" s="41"/>
      <c r="H55" s="41"/>
      <c r="I55" s="41"/>
      <c r="J55" s="41"/>
      <c r="K55" s="48"/>
      <c r="L55" s="48"/>
      <c r="M55" s="48"/>
      <c r="N55" s="48"/>
      <c r="O55" s="48"/>
      <c r="P55" s="48"/>
      <c r="Q55" s="48"/>
      <c r="R55" s="48"/>
    </row>
    <row r="56" s="30" customFormat="1" spans="1:18">
      <c r="A56" s="65"/>
      <c r="B56" s="41"/>
      <c r="C56" s="41"/>
      <c r="D56" s="41"/>
      <c r="E56" s="41"/>
      <c r="F56" s="41"/>
      <c r="G56" s="41"/>
      <c r="H56" s="41"/>
      <c r="I56" s="41"/>
      <c r="J56" s="41"/>
      <c r="K56" s="48"/>
      <c r="L56" s="48"/>
      <c r="M56" s="48"/>
      <c r="N56" s="48"/>
      <c r="O56" s="48"/>
      <c r="P56" s="48"/>
      <c r="Q56" s="48"/>
      <c r="R56" s="48"/>
    </row>
    <row r="57" s="30" customFormat="1" spans="1:18">
      <c r="A57" s="65"/>
      <c r="B57" s="41"/>
      <c r="C57" s="41"/>
      <c r="D57" s="41"/>
      <c r="E57" s="41"/>
      <c r="F57" s="41"/>
      <c r="G57" s="41"/>
      <c r="H57" s="41"/>
      <c r="I57" s="41"/>
      <c r="J57" s="41"/>
      <c r="K57" s="48"/>
      <c r="L57" s="48"/>
      <c r="M57" s="48"/>
      <c r="N57" s="48"/>
      <c r="O57" s="48"/>
      <c r="P57" s="48"/>
      <c r="Q57" s="48"/>
      <c r="R57" s="48"/>
    </row>
    <row r="58" s="30" customFormat="1" spans="1:18">
      <c r="A58" s="65"/>
      <c r="B58" s="41"/>
      <c r="C58" s="41"/>
      <c r="D58" s="41"/>
      <c r="E58" s="41"/>
      <c r="F58" s="41"/>
      <c r="G58" s="41"/>
      <c r="H58" s="41"/>
      <c r="I58" s="41"/>
      <c r="J58" s="41"/>
      <c r="K58" s="48"/>
      <c r="L58" s="48"/>
      <c r="M58" s="48"/>
      <c r="N58" s="48"/>
      <c r="O58" s="48"/>
      <c r="P58" s="48"/>
      <c r="Q58" s="48"/>
      <c r="R58" s="48"/>
    </row>
    <row r="59" s="30" customFormat="1" spans="1:18">
      <c r="A59" s="65"/>
      <c r="B59" s="41"/>
      <c r="C59" s="41"/>
      <c r="D59" s="41"/>
      <c r="E59" s="41"/>
      <c r="F59" s="41"/>
      <c r="G59" s="41"/>
      <c r="H59" s="41"/>
      <c r="I59" s="41"/>
      <c r="J59" s="41"/>
      <c r="K59" s="48"/>
      <c r="L59" s="48"/>
      <c r="M59" s="48"/>
      <c r="N59" s="48"/>
      <c r="O59" s="48"/>
      <c r="P59" s="48"/>
      <c r="Q59" s="48"/>
      <c r="R59" s="48"/>
    </row>
    <row r="60" s="30" customFormat="1" spans="1:18">
      <c r="A60" s="65"/>
      <c r="B60" s="41"/>
      <c r="C60" s="41"/>
      <c r="D60" s="41"/>
      <c r="E60" s="41"/>
      <c r="F60" s="41"/>
      <c r="G60" s="41"/>
      <c r="H60" s="41"/>
      <c r="I60" s="41"/>
      <c r="J60" s="41"/>
      <c r="K60" s="48"/>
      <c r="L60" s="48"/>
      <c r="M60" s="48"/>
      <c r="N60" s="48"/>
      <c r="O60" s="48"/>
      <c r="P60" s="48"/>
      <c r="Q60" s="48"/>
      <c r="R60" s="48"/>
    </row>
    <row r="61" s="30" customFormat="1" spans="1:18">
      <c r="A61" s="65"/>
      <c r="B61" s="41"/>
      <c r="C61" s="41"/>
      <c r="D61" s="41"/>
      <c r="E61" s="41"/>
      <c r="F61" s="41"/>
      <c r="G61" s="41"/>
      <c r="H61" s="41"/>
      <c r="I61" s="41"/>
      <c r="J61" s="41"/>
      <c r="K61" s="48"/>
      <c r="L61" s="48"/>
      <c r="M61" s="48"/>
      <c r="N61" s="48"/>
      <c r="O61" s="48"/>
      <c r="P61" s="48"/>
      <c r="Q61" s="48"/>
      <c r="R61" s="48"/>
    </row>
    <row r="62" s="30" customFormat="1" spans="1:18">
      <c r="A62" s="65"/>
      <c r="B62" s="41"/>
      <c r="C62" s="41"/>
      <c r="D62" s="41"/>
      <c r="E62" s="41"/>
      <c r="F62" s="41"/>
      <c r="G62" s="41"/>
      <c r="H62" s="41"/>
      <c r="I62" s="41"/>
      <c r="J62" s="41"/>
      <c r="K62" s="48"/>
      <c r="L62" s="48"/>
      <c r="M62" s="48"/>
      <c r="N62" s="48"/>
      <c r="O62" s="48"/>
      <c r="P62" s="48"/>
      <c r="Q62" s="48"/>
      <c r="R62" s="48"/>
    </row>
    <row r="63" s="30" customFormat="1" spans="1:18">
      <c r="A63" s="65"/>
      <c r="B63" s="41"/>
      <c r="C63" s="41"/>
      <c r="D63" s="41"/>
      <c r="E63" s="41"/>
      <c r="F63" s="41"/>
      <c r="G63" s="41"/>
      <c r="H63" s="41"/>
      <c r="I63" s="41"/>
      <c r="J63" s="41"/>
      <c r="K63" s="48"/>
      <c r="L63" s="48"/>
      <c r="M63" s="48"/>
      <c r="N63" s="48"/>
      <c r="O63" s="48"/>
      <c r="P63" s="48"/>
      <c r="Q63" s="48"/>
      <c r="R63" s="48"/>
    </row>
    <row r="64" s="30" customFormat="1" spans="1:18">
      <c r="A64" s="65"/>
      <c r="B64" s="41"/>
      <c r="C64" s="41"/>
      <c r="D64" s="41"/>
      <c r="E64" s="41"/>
      <c r="F64" s="41"/>
      <c r="G64" s="41"/>
      <c r="H64" s="41"/>
      <c r="I64" s="41"/>
      <c r="J64" s="41"/>
      <c r="K64" s="48"/>
      <c r="L64" s="48"/>
      <c r="M64" s="48"/>
      <c r="N64" s="48"/>
      <c r="O64" s="48"/>
      <c r="P64" s="48"/>
      <c r="Q64" s="48"/>
      <c r="R64" s="48"/>
    </row>
    <row r="65" s="30" customFormat="1" spans="1:18">
      <c r="A65" s="65"/>
      <c r="B65" s="41"/>
      <c r="C65" s="41"/>
      <c r="D65" s="41"/>
      <c r="E65" s="41"/>
      <c r="F65" s="41"/>
      <c r="G65" s="41"/>
      <c r="H65" s="41"/>
      <c r="I65" s="41"/>
      <c r="J65" s="41"/>
      <c r="K65" s="48"/>
      <c r="L65" s="48"/>
      <c r="M65" s="48"/>
      <c r="N65" s="48"/>
      <c r="O65" s="48"/>
      <c r="P65" s="48"/>
      <c r="Q65" s="48"/>
      <c r="R65" s="48"/>
    </row>
    <row r="66" s="30" customFormat="1" spans="1:18">
      <c r="A66" s="65"/>
      <c r="B66" s="41"/>
      <c r="C66" s="41"/>
      <c r="D66" s="41"/>
      <c r="E66" s="41"/>
      <c r="F66" s="41"/>
      <c r="G66" s="41"/>
      <c r="H66" s="41"/>
      <c r="I66" s="41"/>
      <c r="J66" s="41"/>
      <c r="K66" s="48"/>
      <c r="L66" s="48"/>
      <c r="M66" s="48"/>
      <c r="N66" s="48"/>
      <c r="O66" s="48"/>
      <c r="P66" s="48"/>
      <c r="Q66" s="48"/>
      <c r="R66" s="48"/>
    </row>
    <row r="67" s="30" customFormat="1" spans="1:18">
      <c r="A67" s="65"/>
      <c r="B67" s="41"/>
      <c r="C67" s="41"/>
      <c r="D67" s="41"/>
      <c r="E67" s="41"/>
      <c r="F67" s="41"/>
      <c r="G67" s="41"/>
      <c r="H67" s="41"/>
      <c r="I67" s="41"/>
      <c r="J67" s="41"/>
      <c r="K67" s="48"/>
      <c r="L67" s="48"/>
      <c r="M67" s="48"/>
      <c r="N67" s="48"/>
      <c r="O67" s="48"/>
      <c r="P67" s="48"/>
      <c r="Q67" s="48"/>
      <c r="R67" s="48"/>
    </row>
    <row r="68" s="30" customFormat="1" spans="1:18">
      <c r="A68" s="65"/>
      <c r="B68" s="41"/>
      <c r="C68" s="41"/>
      <c r="D68" s="41"/>
      <c r="E68" s="41"/>
      <c r="F68" s="41"/>
      <c r="G68" s="41"/>
      <c r="H68" s="41"/>
      <c r="I68" s="41"/>
      <c r="J68" s="41"/>
      <c r="K68" s="48"/>
      <c r="L68" s="48"/>
      <c r="M68" s="48"/>
      <c r="N68" s="48"/>
      <c r="O68" s="48"/>
      <c r="P68" s="48"/>
      <c r="Q68" s="48"/>
      <c r="R68" s="48"/>
    </row>
    <row r="69" s="30" customFormat="1" spans="1:18">
      <c r="A69" s="65"/>
      <c r="B69" s="41"/>
      <c r="C69" s="41"/>
      <c r="D69" s="41"/>
      <c r="E69" s="41"/>
      <c r="F69" s="41"/>
      <c r="G69" s="41"/>
      <c r="H69" s="41"/>
      <c r="I69" s="41"/>
      <c r="J69" s="41"/>
      <c r="K69" s="48"/>
      <c r="L69" s="48"/>
      <c r="M69" s="48"/>
      <c r="N69" s="48"/>
      <c r="O69" s="48"/>
      <c r="P69" s="48"/>
      <c r="Q69" s="48"/>
      <c r="R69" s="48"/>
    </row>
    <row r="70" s="30" customFormat="1" spans="1:18">
      <c r="A70" s="65"/>
      <c r="B70" s="41"/>
      <c r="C70" s="41"/>
      <c r="D70" s="41"/>
      <c r="E70" s="41"/>
      <c r="F70" s="41"/>
      <c r="G70" s="41"/>
      <c r="H70" s="41"/>
      <c r="I70" s="41"/>
      <c r="J70" s="41"/>
      <c r="K70" s="48"/>
      <c r="L70" s="48"/>
      <c r="M70" s="48"/>
      <c r="N70" s="48"/>
      <c r="O70" s="48"/>
      <c r="P70" s="48"/>
      <c r="Q70" s="48"/>
      <c r="R70" s="48"/>
    </row>
    <row r="71" s="30" customFormat="1" spans="1:18">
      <c r="A71" s="65"/>
      <c r="B71" s="41"/>
      <c r="C71" s="41"/>
      <c r="D71" s="41"/>
      <c r="E71" s="41"/>
      <c r="F71" s="41"/>
      <c r="G71" s="41"/>
      <c r="H71" s="41"/>
      <c r="I71" s="41"/>
      <c r="J71" s="41"/>
      <c r="K71" s="48"/>
      <c r="L71" s="48"/>
      <c r="M71" s="48"/>
      <c r="N71" s="48"/>
      <c r="O71" s="48"/>
      <c r="P71" s="48"/>
      <c r="Q71" s="48"/>
      <c r="R71" s="48"/>
    </row>
    <row r="72" s="30" customFormat="1" spans="1:18">
      <c r="A72" s="65"/>
      <c r="B72" s="41"/>
      <c r="C72" s="41"/>
      <c r="D72" s="41"/>
      <c r="E72" s="41"/>
      <c r="F72" s="41"/>
      <c r="G72" s="41"/>
      <c r="H72" s="41"/>
      <c r="I72" s="41"/>
      <c r="J72" s="41"/>
      <c r="K72" s="48"/>
      <c r="L72" s="48"/>
      <c r="M72" s="48"/>
      <c r="N72" s="48"/>
      <c r="O72" s="48"/>
      <c r="P72" s="48"/>
      <c r="Q72" s="48"/>
      <c r="R72" s="48"/>
    </row>
    <row r="73" s="30" customFormat="1" spans="1:18">
      <c r="A73" s="65"/>
      <c r="B73" s="41"/>
      <c r="C73" s="41"/>
      <c r="D73" s="41"/>
      <c r="E73" s="41"/>
      <c r="F73" s="41"/>
      <c r="G73" s="41"/>
      <c r="H73" s="41"/>
      <c r="I73" s="41"/>
      <c r="J73" s="41"/>
      <c r="K73" s="48"/>
      <c r="L73" s="48"/>
      <c r="M73" s="48"/>
      <c r="N73" s="48"/>
      <c r="O73" s="48"/>
      <c r="P73" s="48"/>
      <c r="Q73" s="48"/>
      <c r="R73" s="48"/>
    </row>
    <row r="74" spans="2:10">
      <c r="B74" s="41"/>
      <c r="C74" s="41"/>
      <c r="D74" s="41"/>
      <c r="E74" s="41"/>
      <c r="F74" s="41"/>
      <c r="G74" s="41"/>
      <c r="H74" s="41"/>
      <c r="I74" s="41"/>
      <c r="J74" s="41"/>
    </row>
    <row r="75" spans="2:10">
      <c r="B75" s="41"/>
      <c r="C75" s="41"/>
      <c r="D75" s="41"/>
      <c r="E75" s="41"/>
      <c r="F75" s="41"/>
      <c r="G75" s="41"/>
      <c r="H75" s="41"/>
      <c r="I75" s="41"/>
      <c r="J75" s="41"/>
    </row>
    <row r="76" spans="2:10">
      <c r="B76" s="41"/>
      <c r="C76" s="41"/>
      <c r="D76" s="41"/>
      <c r="E76" s="41"/>
      <c r="F76" s="41"/>
      <c r="G76" s="41"/>
      <c r="H76" s="41"/>
      <c r="I76" s="41"/>
      <c r="J76" s="41"/>
    </row>
    <row r="77" spans="2:10">
      <c r="B77" s="41"/>
      <c r="C77" s="41"/>
      <c r="D77" s="41"/>
      <c r="E77" s="41"/>
      <c r="F77" s="41"/>
      <c r="G77" s="41"/>
      <c r="H77" s="41"/>
      <c r="I77" s="41"/>
      <c r="J77" s="41"/>
    </row>
    <row r="78" spans="2:10">
      <c r="B78" s="41"/>
      <c r="C78" s="41"/>
      <c r="D78" s="41"/>
      <c r="E78" s="41"/>
      <c r="F78" s="41"/>
      <c r="G78" s="41"/>
      <c r="H78" s="41"/>
      <c r="I78" s="41"/>
      <c r="J78" s="41"/>
    </row>
    <row r="79" spans="2:10">
      <c r="B79" s="41"/>
      <c r="C79" s="41"/>
      <c r="D79" s="41"/>
      <c r="E79" s="41"/>
      <c r="F79" s="41"/>
      <c r="G79" s="41"/>
      <c r="H79" s="41"/>
      <c r="I79" s="41"/>
      <c r="J79" s="41"/>
    </row>
    <row r="80" spans="2:10">
      <c r="B80" s="41"/>
      <c r="C80" s="41"/>
      <c r="D80" s="41"/>
      <c r="E80" s="41"/>
      <c r="F80" s="41"/>
      <c r="G80" s="41"/>
      <c r="H80" s="41"/>
      <c r="I80" s="41"/>
      <c r="J80" s="41"/>
    </row>
    <row r="81" spans="2:10">
      <c r="B81" s="41"/>
      <c r="C81" s="41"/>
      <c r="D81" s="41"/>
      <c r="E81" s="41"/>
      <c r="F81" s="41"/>
      <c r="G81" s="41"/>
      <c r="H81" s="41"/>
      <c r="I81" s="41"/>
      <c r="J81" s="41"/>
    </row>
    <row r="82" spans="2:10">
      <c r="B82" s="41"/>
      <c r="C82" s="41"/>
      <c r="D82" s="41"/>
      <c r="E82" s="41"/>
      <c r="F82" s="41"/>
      <c r="G82" s="41"/>
      <c r="H82" s="41"/>
      <c r="I82" s="41"/>
      <c r="J82" s="41"/>
    </row>
    <row r="83" spans="2:10">
      <c r="B83" s="41"/>
      <c r="C83" s="41"/>
      <c r="D83" s="41"/>
      <c r="E83" s="41"/>
      <c r="F83" s="41"/>
      <c r="G83" s="41"/>
      <c r="H83" s="41"/>
      <c r="I83" s="41"/>
      <c r="J83" s="41"/>
    </row>
    <row r="84" spans="2:10">
      <c r="B84" s="41"/>
      <c r="C84" s="41"/>
      <c r="D84" s="41"/>
      <c r="E84" s="41"/>
      <c r="F84" s="41"/>
      <c r="G84" s="41"/>
      <c r="H84" s="41"/>
      <c r="I84" s="41"/>
      <c r="J84" s="41"/>
    </row>
    <row r="85" spans="2:10">
      <c r="B85" s="41"/>
      <c r="C85" s="41"/>
      <c r="D85" s="41"/>
      <c r="E85" s="41"/>
      <c r="F85" s="41"/>
      <c r="G85" s="41"/>
      <c r="H85" s="41"/>
      <c r="I85" s="41"/>
      <c r="J85" s="41"/>
    </row>
    <row r="86" spans="2:10">
      <c r="B86" s="41"/>
      <c r="C86" s="41"/>
      <c r="D86" s="41"/>
      <c r="E86" s="41"/>
      <c r="F86" s="41"/>
      <c r="G86" s="41"/>
      <c r="H86" s="41"/>
      <c r="I86" s="41"/>
      <c r="J86" s="41"/>
    </row>
    <row r="87" spans="2:10">
      <c r="B87" s="41"/>
      <c r="C87" s="41"/>
      <c r="D87" s="41"/>
      <c r="E87" s="41"/>
      <c r="F87" s="41"/>
      <c r="G87" s="41"/>
      <c r="H87" s="41"/>
      <c r="I87" s="41"/>
      <c r="J87" s="41"/>
    </row>
    <row r="88" spans="2:12">
      <c r="B88" s="41" t="str">
        <f>IF(ISERROR(VLOOKUP($A88,通讯录!$A:$M,3,FALSE)&amp;""),"",VLOOKUP($A88,通讯录!$A:$M,3,FALSE)&amp;"")</f>
        <v/>
      </c>
      <c r="C88" s="41" t="str">
        <f>IF(ISERROR(VLOOKUP($A88,通讯录!$A:$M,7,FALSE)&amp;""),"",VLOOKUP($A88,通讯录!$A:$M,7,FALSE)&amp;"")</f>
        <v/>
      </c>
      <c r="D88" s="41" t="str">
        <f>IF(ISERROR(VLOOKUP($A88,通讯录!$A:$M,5,FALSE)&amp;""),"",VLOOKUP($A88,通讯录!$A:$M,5,FALSE)&amp;"")</f>
        <v/>
      </c>
      <c r="E88" s="41" t="str">
        <f>IF(ISERROR(VLOOKUP($A88,通讯录!$A:$M,6,FALSE)&amp;""),"",VLOOKUP($A88,通讯录!$A:$M,6,FALSE)&amp;"")</f>
        <v/>
      </c>
      <c r="F88" s="41" t="str">
        <f>IF(ISERROR(VLOOKUP($A88,通讯录!$A:$M,4,FALSE)&amp;""),"",VLOOKUP($A88,通讯录!$A:$M,4,FALSE)&amp;"")</f>
        <v/>
      </c>
      <c r="G88" s="41" t="str">
        <f>IF(ISERROR(VLOOKUP($A88,通讯录!$A:$M,8,FALSE)&amp;""),"",VLOOKUP($A88,通讯录!$A:$M,8,FALSE)&amp;"")</f>
        <v/>
      </c>
      <c r="H88" s="41"/>
      <c r="I88" s="41"/>
      <c r="J88" s="41"/>
      <c r="L88" s="29" t="str">
        <f t="shared" ref="L88:L97" si="1">LEFT(A88,1)</f>
        <v/>
      </c>
    </row>
    <row r="89" spans="2:12">
      <c r="B89" s="41" t="str">
        <f>IF(ISERROR(VLOOKUP($A89,通讯录!$A:$M,3,FALSE)&amp;""),"",VLOOKUP($A89,通讯录!$A:$M,3,FALSE)&amp;"")</f>
        <v/>
      </c>
      <c r="C89" s="41" t="str">
        <f>IF(ISERROR(VLOOKUP($A89,通讯录!$A:$M,7,FALSE)&amp;""),"",VLOOKUP($A89,通讯录!$A:$M,7,FALSE)&amp;"")</f>
        <v/>
      </c>
      <c r="D89" s="41" t="str">
        <f>IF(ISERROR(VLOOKUP($A89,通讯录!$A:$M,5,FALSE)&amp;""),"",VLOOKUP($A89,通讯录!$A:$M,5,FALSE)&amp;"")</f>
        <v/>
      </c>
      <c r="E89" s="41" t="str">
        <f>IF(ISERROR(VLOOKUP($A89,通讯录!$A:$M,6,FALSE)&amp;""),"",VLOOKUP($A89,通讯录!$A:$M,6,FALSE)&amp;"")</f>
        <v/>
      </c>
      <c r="F89" s="41" t="str">
        <f>IF(ISERROR(VLOOKUP($A89,通讯录!$A:$M,4,FALSE)&amp;""),"",VLOOKUP($A89,通讯录!$A:$M,4,FALSE)&amp;"")</f>
        <v/>
      </c>
      <c r="G89" s="41" t="str">
        <f>IF(ISERROR(VLOOKUP($A89,通讯录!$A:$M,8,FALSE)&amp;""),"",VLOOKUP($A89,通讯录!$A:$M,8,FALSE)&amp;"")</f>
        <v/>
      </c>
      <c r="H89" s="41"/>
      <c r="I89" s="41"/>
      <c r="J89" s="41"/>
      <c r="L89" s="29" t="str">
        <f t="shared" si="1"/>
        <v/>
      </c>
    </row>
    <row r="90" spans="2:12">
      <c r="B90" s="41" t="str">
        <f>IF(ISERROR(VLOOKUP($A90,通讯录!$A:$M,3,FALSE)&amp;""),"",VLOOKUP($A90,通讯录!$A:$M,3,FALSE)&amp;"")</f>
        <v/>
      </c>
      <c r="C90" s="41" t="str">
        <f>IF(ISERROR(VLOOKUP($A90,通讯录!$A:$M,7,FALSE)&amp;""),"",VLOOKUP($A90,通讯录!$A:$M,7,FALSE)&amp;"")</f>
        <v/>
      </c>
      <c r="D90" s="41" t="str">
        <f>IF(ISERROR(VLOOKUP($A90,通讯录!$A:$M,5,FALSE)&amp;""),"",VLOOKUP($A90,通讯录!$A:$M,5,FALSE)&amp;"")</f>
        <v/>
      </c>
      <c r="E90" s="41" t="str">
        <f>IF(ISERROR(VLOOKUP($A90,通讯录!$A:$M,6,FALSE)&amp;""),"",VLOOKUP($A90,通讯录!$A:$M,6,FALSE)&amp;"")</f>
        <v/>
      </c>
      <c r="F90" s="41" t="str">
        <f>IF(ISERROR(VLOOKUP($A90,通讯录!$A:$M,4,FALSE)&amp;""),"",VLOOKUP($A90,通讯录!$A:$M,4,FALSE)&amp;"")</f>
        <v/>
      </c>
      <c r="G90" s="41" t="str">
        <f>IF(ISERROR(VLOOKUP($A90,通讯录!$A:$M,8,FALSE)&amp;""),"",VLOOKUP($A90,通讯录!$A:$M,8,FALSE)&amp;"")</f>
        <v/>
      </c>
      <c r="H90" s="41"/>
      <c r="I90" s="41"/>
      <c r="J90" s="41"/>
      <c r="L90" s="29" t="str">
        <f t="shared" si="1"/>
        <v/>
      </c>
    </row>
    <row r="91" spans="2:12">
      <c r="B91" s="41" t="str">
        <f>IF(ISERROR(VLOOKUP($A91,通讯录!$A:$M,3,FALSE)&amp;""),"",VLOOKUP($A91,通讯录!$A:$M,3,FALSE)&amp;"")</f>
        <v/>
      </c>
      <c r="C91" s="41" t="str">
        <f>IF(ISERROR(VLOOKUP($A91,通讯录!$A:$M,7,FALSE)&amp;""),"",VLOOKUP($A91,通讯录!$A:$M,7,FALSE)&amp;"")</f>
        <v/>
      </c>
      <c r="D91" s="41" t="str">
        <f>IF(ISERROR(VLOOKUP($A91,通讯录!$A:$M,5,FALSE)&amp;""),"",VLOOKUP($A91,通讯录!$A:$M,5,FALSE)&amp;"")</f>
        <v/>
      </c>
      <c r="E91" s="41" t="str">
        <f>IF(ISERROR(VLOOKUP($A91,通讯录!$A:$M,6,FALSE)&amp;""),"",VLOOKUP($A91,通讯录!$A:$M,6,FALSE)&amp;"")</f>
        <v/>
      </c>
      <c r="F91" s="41" t="str">
        <f>IF(ISERROR(VLOOKUP($A91,通讯录!$A:$M,4,FALSE)&amp;""),"",VLOOKUP($A91,通讯录!$A:$M,4,FALSE)&amp;"")</f>
        <v/>
      </c>
      <c r="G91" s="41" t="str">
        <f>IF(ISERROR(VLOOKUP($A91,通讯录!$A:$M,8,FALSE)&amp;""),"",VLOOKUP($A91,通讯录!$A:$M,8,FALSE)&amp;"")</f>
        <v/>
      </c>
      <c r="H91" s="41"/>
      <c r="I91" s="41"/>
      <c r="J91" s="41"/>
      <c r="L91" s="29" t="str">
        <f t="shared" si="1"/>
        <v/>
      </c>
    </row>
    <row r="92" spans="2:12">
      <c r="B92" s="41" t="str">
        <f>IF(ISERROR(VLOOKUP($A92,通讯录!$A:$M,3,FALSE)&amp;""),"",VLOOKUP($A92,通讯录!$A:$M,3,FALSE)&amp;"")</f>
        <v/>
      </c>
      <c r="C92" s="41" t="str">
        <f>IF(ISERROR(VLOOKUP($A92,通讯录!$A:$M,7,FALSE)&amp;""),"",VLOOKUP($A92,通讯录!$A:$M,7,FALSE)&amp;"")</f>
        <v/>
      </c>
      <c r="D92" s="41" t="str">
        <f>IF(ISERROR(VLOOKUP($A92,通讯录!$A:$M,5,FALSE)&amp;""),"",VLOOKUP($A92,通讯录!$A:$M,5,FALSE)&amp;"")</f>
        <v/>
      </c>
      <c r="E92" s="41" t="str">
        <f>IF(ISERROR(VLOOKUP($A92,通讯录!$A:$M,6,FALSE)&amp;""),"",VLOOKUP($A92,通讯录!$A:$M,6,FALSE)&amp;"")</f>
        <v/>
      </c>
      <c r="F92" s="41" t="str">
        <f>IF(ISERROR(VLOOKUP($A92,通讯录!$A:$M,4,FALSE)&amp;""),"",VLOOKUP($A92,通讯录!$A:$M,4,FALSE)&amp;"")</f>
        <v/>
      </c>
      <c r="G92" s="41" t="str">
        <f>IF(ISERROR(VLOOKUP($A92,通讯录!$A:$M,8,FALSE)&amp;""),"",VLOOKUP($A92,通讯录!$A:$M,8,FALSE)&amp;"")</f>
        <v/>
      </c>
      <c r="H92" s="41"/>
      <c r="I92" s="41"/>
      <c r="J92" s="41"/>
      <c r="L92" s="29" t="str">
        <f t="shared" si="1"/>
        <v/>
      </c>
    </row>
    <row r="93" spans="2:12">
      <c r="B93" s="41" t="str">
        <f>IF(ISERROR(VLOOKUP($A93,通讯录!$A:$M,3,FALSE)&amp;""),"",VLOOKUP($A93,通讯录!$A:$M,3,FALSE)&amp;"")</f>
        <v/>
      </c>
      <c r="C93" s="41" t="str">
        <f>IF(ISERROR(VLOOKUP($A93,通讯录!$A:$M,7,FALSE)&amp;""),"",VLOOKUP($A93,通讯录!$A:$M,7,FALSE)&amp;"")</f>
        <v/>
      </c>
      <c r="D93" s="41" t="str">
        <f>IF(ISERROR(VLOOKUP($A93,通讯录!$A:$M,5,FALSE)&amp;""),"",VLOOKUP($A93,通讯录!$A:$M,5,FALSE)&amp;"")</f>
        <v/>
      </c>
      <c r="E93" s="41" t="str">
        <f>IF(ISERROR(VLOOKUP($A93,通讯录!$A:$M,6,FALSE)&amp;""),"",VLOOKUP($A93,通讯录!$A:$M,6,FALSE)&amp;"")</f>
        <v/>
      </c>
      <c r="F93" s="41" t="str">
        <f>IF(ISERROR(VLOOKUP($A93,通讯录!$A:$M,4,FALSE)&amp;""),"",VLOOKUP($A93,通讯录!$A:$M,4,FALSE)&amp;"")</f>
        <v/>
      </c>
      <c r="G93" s="41" t="str">
        <f>IF(ISERROR(VLOOKUP($A93,通讯录!$A:$M,8,FALSE)&amp;""),"",VLOOKUP($A93,通讯录!$A:$M,8,FALSE)&amp;"")</f>
        <v/>
      </c>
      <c r="H93" s="41"/>
      <c r="I93" s="41"/>
      <c r="J93" s="41"/>
      <c r="L93" s="29" t="str">
        <f t="shared" si="1"/>
        <v/>
      </c>
    </row>
    <row r="94" spans="2:12">
      <c r="B94" s="41" t="str">
        <f>IF(ISERROR(VLOOKUP($A94,通讯录!$A:$M,3,FALSE)&amp;""),"",VLOOKUP($A94,通讯录!$A:$M,3,FALSE)&amp;"")</f>
        <v/>
      </c>
      <c r="C94" s="41" t="str">
        <f>IF(ISERROR(VLOOKUP($A94,通讯录!$A:$M,7,FALSE)&amp;""),"",VLOOKUP($A94,通讯录!$A:$M,7,FALSE)&amp;"")</f>
        <v/>
      </c>
      <c r="D94" s="41" t="str">
        <f>IF(ISERROR(VLOOKUP($A94,通讯录!$A:$M,5,FALSE)&amp;""),"",VLOOKUP($A94,通讯录!$A:$M,5,FALSE)&amp;"")</f>
        <v/>
      </c>
      <c r="E94" s="41" t="str">
        <f>IF(ISERROR(VLOOKUP($A94,通讯录!$A:$M,6,FALSE)&amp;""),"",VLOOKUP($A94,通讯录!$A:$M,6,FALSE)&amp;"")</f>
        <v/>
      </c>
      <c r="F94" s="41" t="str">
        <f>IF(ISERROR(VLOOKUP($A94,通讯录!$A:$M,4,FALSE)&amp;""),"",VLOOKUP($A94,通讯录!$A:$M,4,FALSE)&amp;"")</f>
        <v/>
      </c>
      <c r="G94" s="41" t="str">
        <f>IF(ISERROR(VLOOKUP($A94,通讯录!$A:$M,8,FALSE)&amp;""),"",VLOOKUP($A94,通讯录!$A:$M,8,FALSE)&amp;"")</f>
        <v/>
      </c>
      <c r="H94" s="41"/>
      <c r="I94" s="41"/>
      <c r="J94" s="41"/>
      <c r="L94" s="29" t="str">
        <f t="shared" si="1"/>
        <v/>
      </c>
    </row>
    <row r="95" spans="2:12">
      <c r="B95" s="41" t="str">
        <f>IF(ISERROR(VLOOKUP($A95,通讯录!$A:$M,3,FALSE)&amp;""),"",VLOOKUP($A95,通讯录!$A:$M,3,FALSE)&amp;"")</f>
        <v/>
      </c>
      <c r="C95" s="41" t="str">
        <f>IF(ISERROR(VLOOKUP($A95,通讯录!$A:$M,7,FALSE)&amp;""),"",VLOOKUP($A95,通讯录!$A:$M,7,FALSE)&amp;"")</f>
        <v/>
      </c>
      <c r="D95" s="41" t="str">
        <f>IF(ISERROR(VLOOKUP($A95,通讯录!$A:$M,5,FALSE)&amp;""),"",VLOOKUP($A95,通讯录!$A:$M,5,FALSE)&amp;"")</f>
        <v/>
      </c>
      <c r="E95" s="41" t="str">
        <f>IF(ISERROR(VLOOKUP($A95,通讯录!$A:$M,6,FALSE)&amp;""),"",VLOOKUP($A95,通讯录!$A:$M,6,FALSE)&amp;"")</f>
        <v/>
      </c>
      <c r="F95" s="41" t="str">
        <f>IF(ISERROR(VLOOKUP($A95,通讯录!$A:$M,4,FALSE)&amp;""),"",VLOOKUP($A95,通讯录!$A:$M,4,FALSE)&amp;"")</f>
        <v/>
      </c>
      <c r="G95" s="41" t="str">
        <f>IF(ISERROR(VLOOKUP($A95,通讯录!$A:$M,8,FALSE)&amp;""),"",VLOOKUP($A95,通讯录!$A:$M,8,FALSE)&amp;"")</f>
        <v/>
      </c>
      <c r="H95" s="41"/>
      <c r="I95" s="41"/>
      <c r="J95" s="41"/>
      <c r="L95" s="29" t="str">
        <f t="shared" si="1"/>
        <v/>
      </c>
    </row>
    <row r="96" spans="2:12">
      <c r="B96" s="41" t="str">
        <f>IF(ISERROR(VLOOKUP($A96,通讯录!$A:$M,3,FALSE)&amp;""),"",VLOOKUP($A96,通讯录!$A:$M,3,FALSE)&amp;"")</f>
        <v/>
      </c>
      <c r="C96" s="41" t="str">
        <f>IF(ISERROR(VLOOKUP($A96,通讯录!$A:$M,7,FALSE)&amp;""),"",VLOOKUP($A96,通讯录!$A:$M,7,FALSE)&amp;"")</f>
        <v/>
      </c>
      <c r="D96" s="41" t="str">
        <f>IF(ISERROR(VLOOKUP($A96,通讯录!$A:$M,5,FALSE)&amp;""),"",VLOOKUP($A96,通讯录!$A:$M,5,FALSE)&amp;"")</f>
        <v/>
      </c>
      <c r="E96" s="41" t="str">
        <f>IF(ISERROR(VLOOKUP($A96,通讯录!$A:$M,6,FALSE)&amp;""),"",VLOOKUP($A96,通讯录!$A:$M,6,FALSE)&amp;"")</f>
        <v/>
      </c>
      <c r="F96" s="41" t="str">
        <f>IF(ISERROR(VLOOKUP($A96,通讯录!$A:$M,4,FALSE)&amp;""),"",VLOOKUP($A96,通讯录!$A:$M,4,FALSE)&amp;"")</f>
        <v/>
      </c>
      <c r="G96" s="41" t="str">
        <f>IF(ISERROR(VLOOKUP($A96,通讯录!$A:$M,8,FALSE)&amp;""),"",VLOOKUP($A96,通讯录!$A:$M,8,FALSE)&amp;"")</f>
        <v/>
      </c>
      <c r="H96" s="41"/>
      <c r="I96" s="41"/>
      <c r="J96" s="41"/>
      <c r="L96" s="29" t="str">
        <f t="shared" si="1"/>
        <v/>
      </c>
    </row>
    <row r="97" spans="2:12">
      <c r="B97" s="41" t="str">
        <f>IF(ISERROR(VLOOKUP($A97,通讯录!$A:$M,3,FALSE)&amp;""),"",VLOOKUP($A97,通讯录!$A:$M,3,FALSE)&amp;"")</f>
        <v/>
      </c>
      <c r="C97" s="41" t="str">
        <f>IF(ISERROR(VLOOKUP($A97,通讯录!$A:$M,7,FALSE)&amp;""),"",VLOOKUP($A97,通讯录!$A:$M,7,FALSE)&amp;"")</f>
        <v/>
      </c>
      <c r="D97" s="41" t="str">
        <f>IF(ISERROR(VLOOKUP($A97,通讯录!$A:$M,5,FALSE)&amp;""),"",VLOOKUP($A97,通讯录!$A:$M,5,FALSE)&amp;"")</f>
        <v/>
      </c>
      <c r="E97" s="41" t="str">
        <f>IF(ISERROR(VLOOKUP($A97,通讯录!$A:$M,6,FALSE)&amp;""),"",VLOOKUP($A97,通讯录!$A:$M,6,FALSE)&amp;"")</f>
        <v/>
      </c>
      <c r="F97" s="41" t="str">
        <f>IF(ISERROR(VLOOKUP($A97,通讯录!$A:$M,4,FALSE)&amp;""),"",VLOOKUP($A97,通讯录!$A:$M,4,FALSE)&amp;"")</f>
        <v/>
      </c>
      <c r="G97" s="41" t="str">
        <f>IF(ISERROR(VLOOKUP($A97,通讯录!$A:$M,8,FALSE)&amp;""),"",VLOOKUP($A97,通讯录!$A:$M,8,FALSE)&amp;"")</f>
        <v/>
      </c>
      <c r="H97" s="41"/>
      <c r="I97" s="41"/>
      <c r="J97" s="41"/>
      <c r="L97" s="29" t="str">
        <f t="shared" si="1"/>
        <v/>
      </c>
    </row>
    <row r="98" spans="2:12">
      <c r="B98" s="41" t="str">
        <f>IF(ISERROR(VLOOKUP($A98,通讯录!$A:$M,3,FALSE)&amp;""),"",VLOOKUP($A98,通讯录!$A:$M,3,FALSE)&amp;"")</f>
        <v/>
      </c>
      <c r="C98" s="41" t="str">
        <f>IF(ISERROR(VLOOKUP($A98,通讯录!$A:$M,7,FALSE)&amp;""),"",VLOOKUP($A98,通讯录!$A:$M,7,FALSE)&amp;"")</f>
        <v/>
      </c>
      <c r="D98" s="41" t="str">
        <f>IF(ISERROR(VLOOKUP($A98,通讯录!$A:$M,5,FALSE)&amp;""),"",VLOOKUP($A98,通讯录!$A:$M,5,FALSE)&amp;"")</f>
        <v/>
      </c>
      <c r="E98" s="41" t="str">
        <f>IF(ISERROR(VLOOKUP($A98,通讯录!$A:$M,6,FALSE)&amp;""),"",VLOOKUP($A98,通讯录!$A:$M,6,FALSE)&amp;"")</f>
        <v/>
      </c>
      <c r="F98" s="41" t="str">
        <f>IF(ISERROR(VLOOKUP($A98,通讯录!$A:$M,4,FALSE)&amp;""),"",VLOOKUP($A98,通讯录!$A:$M,4,FALSE)&amp;"")</f>
        <v/>
      </c>
      <c r="G98" s="41" t="str">
        <f>IF(ISERROR(VLOOKUP($A98,通讯录!$A:$M,8,FALSE)&amp;""),"",VLOOKUP($A98,通讯录!$A:$M,8,FALSE)&amp;"")</f>
        <v/>
      </c>
      <c r="H98" s="41"/>
      <c r="I98" s="41"/>
      <c r="J98" s="41"/>
      <c r="L98" s="29" t="str">
        <f t="shared" ref="L98:L161" si="2">LEFT(A98,1)</f>
        <v/>
      </c>
    </row>
    <row r="99" spans="2:12">
      <c r="B99" s="41" t="str">
        <f>IF(ISERROR(VLOOKUP($A99,通讯录!$A:$M,3,FALSE)&amp;""),"",VLOOKUP($A99,通讯录!$A:$M,3,FALSE)&amp;"")</f>
        <v/>
      </c>
      <c r="C99" s="41" t="str">
        <f>IF(ISERROR(VLOOKUP($A99,通讯录!$A:$M,7,FALSE)&amp;""),"",VLOOKUP($A99,通讯录!$A:$M,7,FALSE)&amp;"")</f>
        <v/>
      </c>
      <c r="D99" s="41" t="str">
        <f>IF(ISERROR(VLOOKUP($A99,通讯录!$A:$M,5,FALSE)&amp;""),"",VLOOKUP($A99,通讯录!$A:$M,5,FALSE)&amp;"")</f>
        <v/>
      </c>
      <c r="E99" s="41" t="str">
        <f>IF(ISERROR(VLOOKUP($A99,通讯录!$A:$M,6,FALSE)&amp;""),"",VLOOKUP($A99,通讯录!$A:$M,6,FALSE)&amp;"")</f>
        <v/>
      </c>
      <c r="F99" s="41" t="str">
        <f>IF(ISERROR(VLOOKUP($A99,通讯录!$A:$M,4,FALSE)&amp;""),"",VLOOKUP($A99,通讯录!$A:$M,4,FALSE)&amp;"")</f>
        <v/>
      </c>
      <c r="G99" s="41" t="str">
        <f>IF(ISERROR(VLOOKUP($A99,通讯录!$A:$M,8,FALSE)&amp;""),"",VLOOKUP($A99,通讯录!$A:$M,8,FALSE)&amp;"")</f>
        <v/>
      </c>
      <c r="H99" s="41"/>
      <c r="I99" s="41"/>
      <c r="J99" s="41"/>
      <c r="L99" s="29" t="str">
        <f t="shared" si="2"/>
        <v/>
      </c>
    </row>
    <row r="100" spans="2:12">
      <c r="B100" s="41" t="str">
        <f>IF(ISERROR(VLOOKUP($A100,通讯录!$A:$M,3,FALSE)&amp;""),"",VLOOKUP($A100,通讯录!$A:$M,3,FALSE)&amp;"")</f>
        <v/>
      </c>
      <c r="C100" s="41" t="str">
        <f>IF(ISERROR(VLOOKUP($A100,通讯录!$A:$M,7,FALSE)&amp;""),"",VLOOKUP($A100,通讯录!$A:$M,7,FALSE)&amp;"")</f>
        <v/>
      </c>
      <c r="D100" s="41" t="str">
        <f>IF(ISERROR(VLOOKUP($A100,通讯录!$A:$M,5,FALSE)&amp;""),"",VLOOKUP($A100,通讯录!$A:$M,5,FALSE)&amp;"")</f>
        <v/>
      </c>
      <c r="E100" s="41" t="str">
        <f>IF(ISERROR(VLOOKUP($A100,通讯录!$A:$M,6,FALSE)&amp;""),"",VLOOKUP($A100,通讯录!$A:$M,6,FALSE)&amp;"")</f>
        <v/>
      </c>
      <c r="F100" s="41" t="str">
        <f>IF(ISERROR(VLOOKUP($A100,通讯录!$A:$M,4,FALSE)&amp;""),"",VLOOKUP($A100,通讯录!$A:$M,4,FALSE)&amp;"")</f>
        <v/>
      </c>
      <c r="G100" s="41" t="str">
        <f>IF(ISERROR(VLOOKUP($A100,通讯录!$A:$M,8,FALSE)&amp;""),"",VLOOKUP($A100,通讯录!$A:$M,8,FALSE)&amp;"")</f>
        <v/>
      </c>
      <c r="H100" s="41"/>
      <c r="I100" s="41"/>
      <c r="J100" s="41"/>
      <c r="L100" s="29" t="str">
        <f t="shared" si="2"/>
        <v/>
      </c>
    </row>
    <row r="101" spans="2:12">
      <c r="B101" s="41" t="str">
        <f>IF(ISERROR(VLOOKUP($A101,通讯录!$A:$M,3,FALSE)&amp;""),"",VLOOKUP($A101,通讯录!$A:$M,3,FALSE)&amp;"")</f>
        <v/>
      </c>
      <c r="C101" s="41" t="str">
        <f>IF(ISERROR(VLOOKUP($A101,通讯录!$A:$M,7,FALSE)&amp;""),"",VLOOKUP($A101,通讯录!$A:$M,7,FALSE)&amp;"")</f>
        <v/>
      </c>
      <c r="D101" s="41" t="str">
        <f>IF(ISERROR(VLOOKUP($A101,通讯录!$A:$M,5,FALSE)&amp;""),"",VLOOKUP($A101,通讯录!$A:$M,5,FALSE)&amp;"")</f>
        <v/>
      </c>
      <c r="E101" s="41" t="str">
        <f>IF(ISERROR(VLOOKUP($A101,通讯录!$A:$M,6,FALSE)&amp;""),"",VLOOKUP($A101,通讯录!$A:$M,6,FALSE)&amp;"")</f>
        <v/>
      </c>
      <c r="F101" s="41" t="str">
        <f>IF(ISERROR(VLOOKUP($A101,通讯录!$A:$M,4,FALSE)&amp;""),"",VLOOKUP($A101,通讯录!$A:$M,4,FALSE)&amp;"")</f>
        <v/>
      </c>
      <c r="G101" s="41" t="str">
        <f>IF(ISERROR(VLOOKUP($A101,通讯录!$A:$M,8,FALSE)&amp;""),"",VLOOKUP($A101,通讯录!$A:$M,8,FALSE)&amp;"")</f>
        <v/>
      </c>
      <c r="H101" s="41"/>
      <c r="I101" s="41"/>
      <c r="J101" s="41"/>
      <c r="L101" s="29" t="str">
        <f t="shared" si="2"/>
        <v/>
      </c>
    </row>
    <row r="102" spans="2:12">
      <c r="B102" s="41" t="str">
        <f>IF(ISERROR(VLOOKUP($A102,通讯录!$A:$M,3,FALSE)&amp;""),"",VLOOKUP($A102,通讯录!$A:$M,3,FALSE)&amp;"")</f>
        <v/>
      </c>
      <c r="C102" s="41" t="str">
        <f>IF(ISERROR(VLOOKUP($A102,通讯录!$A:$M,7,FALSE)&amp;""),"",VLOOKUP($A102,通讯录!$A:$M,7,FALSE)&amp;"")</f>
        <v/>
      </c>
      <c r="D102" s="41" t="str">
        <f>IF(ISERROR(VLOOKUP($A102,通讯录!$A:$M,5,FALSE)&amp;""),"",VLOOKUP($A102,通讯录!$A:$M,5,FALSE)&amp;"")</f>
        <v/>
      </c>
      <c r="E102" s="41" t="str">
        <f>IF(ISERROR(VLOOKUP($A102,通讯录!$A:$M,6,FALSE)&amp;""),"",VLOOKUP($A102,通讯录!$A:$M,6,FALSE)&amp;"")</f>
        <v/>
      </c>
      <c r="F102" s="41" t="str">
        <f>IF(ISERROR(VLOOKUP($A102,通讯录!$A:$M,4,FALSE)&amp;""),"",VLOOKUP($A102,通讯录!$A:$M,4,FALSE)&amp;"")</f>
        <v/>
      </c>
      <c r="G102" s="41" t="str">
        <f>IF(ISERROR(VLOOKUP($A102,通讯录!$A:$M,8,FALSE)&amp;""),"",VLOOKUP($A102,通讯录!$A:$M,8,FALSE)&amp;"")</f>
        <v/>
      </c>
      <c r="H102" s="41"/>
      <c r="I102" s="41"/>
      <c r="J102" s="41"/>
      <c r="L102" s="29" t="str">
        <f t="shared" si="2"/>
        <v/>
      </c>
    </row>
    <row r="103" spans="2:12">
      <c r="B103" s="41" t="str">
        <f>IF(ISERROR(VLOOKUP($A103,通讯录!$A:$M,3,FALSE)&amp;""),"",VLOOKUP($A103,通讯录!$A:$M,3,FALSE)&amp;"")</f>
        <v/>
      </c>
      <c r="C103" s="41" t="str">
        <f>IF(ISERROR(VLOOKUP($A103,通讯录!$A:$M,7,FALSE)&amp;""),"",VLOOKUP($A103,通讯录!$A:$M,7,FALSE)&amp;"")</f>
        <v/>
      </c>
      <c r="D103" s="41" t="str">
        <f>IF(ISERROR(VLOOKUP($A103,通讯录!$A:$M,5,FALSE)&amp;""),"",VLOOKUP($A103,通讯录!$A:$M,5,FALSE)&amp;"")</f>
        <v/>
      </c>
      <c r="E103" s="41" t="str">
        <f>IF(ISERROR(VLOOKUP($A103,通讯录!$A:$M,6,FALSE)&amp;""),"",VLOOKUP($A103,通讯录!$A:$M,6,FALSE)&amp;"")</f>
        <v/>
      </c>
      <c r="F103" s="41" t="str">
        <f>IF(ISERROR(VLOOKUP($A103,通讯录!$A:$M,4,FALSE)&amp;""),"",VLOOKUP($A103,通讯录!$A:$M,4,FALSE)&amp;"")</f>
        <v/>
      </c>
      <c r="G103" s="41" t="str">
        <f>IF(ISERROR(VLOOKUP($A103,通讯录!$A:$M,8,FALSE)&amp;""),"",VLOOKUP($A103,通讯录!$A:$M,8,FALSE)&amp;"")</f>
        <v/>
      </c>
      <c r="H103" s="41"/>
      <c r="I103" s="41"/>
      <c r="J103" s="41"/>
      <c r="L103" s="29" t="str">
        <f t="shared" si="2"/>
        <v/>
      </c>
    </row>
    <row r="104" spans="2:12">
      <c r="B104" s="41" t="str">
        <f>IF(ISERROR(VLOOKUP($A104,通讯录!$A:$M,3,FALSE)&amp;""),"",VLOOKUP($A104,通讯录!$A:$M,3,FALSE)&amp;"")</f>
        <v/>
      </c>
      <c r="C104" s="41" t="str">
        <f>IF(ISERROR(VLOOKUP($A104,通讯录!$A:$M,7,FALSE)&amp;""),"",VLOOKUP($A104,通讯录!$A:$M,7,FALSE)&amp;"")</f>
        <v/>
      </c>
      <c r="D104" s="41" t="str">
        <f>IF(ISERROR(VLOOKUP($A104,通讯录!$A:$M,5,FALSE)&amp;""),"",VLOOKUP($A104,通讯录!$A:$M,5,FALSE)&amp;"")</f>
        <v/>
      </c>
      <c r="E104" s="41" t="str">
        <f>IF(ISERROR(VLOOKUP($A104,通讯录!$A:$M,6,FALSE)&amp;""),"",VLOOKUP($A104,通讯录!$A:$M,6,FALSE)&amp;"")</f>
        <v/>
      </c>
      <c r="F104" s="41" t="str">
        <f>IF(ISERROR(VLOOKUP($A104,通讯录!$A:$M,4,FALSE)&amp;""),"",VLOOKUP($A104,通讯录!$A:$M,4,FALSE)&amp;"")</f>
        <v/>
      </c>
      <c r="G104" s="41" t="str">
        <f>IF(ISERROR(VLOOKUP($A104,通讯录!$A:$M,8,FALSE)&amp;""),"",VLOOKUP($A104,通讯录!$A:$M,8,FALSE)&amp;"")</f>
        <v/>
      </c>
      <c r="H104" s="41"/>
      <c r="I104" s="41"/>
      <c r="J104" s="41"/>
      <c r="L104" s="29" t="str">
        <f t="shared" si="2"/>
        <v/>
      </c>
    </row>
    <row r="105" spans="2:12">
      <c r="B105" s="41" t="str">
        <f>IF(ISERROR(VLOOKUP($A105,通讯录!$A:$M,3,FALSE)&amp;""),"",VLOOKUP($A105,通讯录!$A:$M,3,FALSE)&amp;"")</f>
        <v/>
      </c>
      <c r="C105" s="41" t="str">
        <f>IF(ISERROR(VLOOKUP($A105,通讯录!$A:$M,7,FALSE)&amp;""),"",VLOOKUP($A105,通讯录!$A:$M,7,FALSE)&amp;"")</f>
        <v/>
      </c>
      <c r="D105" s="41" t="str">
        <f>IF(ISERROR(VLOOKUP($A105,通讯录!$A:$M,5,FALSE)&amp;""),"",VLOOKUP($A105,通讯录!$A:$M,5,FALSE)&amp;"")</f>
        <v/>
      </c>
      <c r="E105" s="41" t="str">
        <f>IF(ISERROR(VLOOKUP($A105,通讯录!$A:$M,6,FALSE)&amp;""),"",VLOOKUP($A105,通讯录!$A:$M,6,FALSE)&amp;"")</f>
        <v/>
      </c>
      <c r="F105" s="41" t="str">
        <f>IF(ISERROR(VLOOKUP($A105,通讯录!$A:$M,4,FALSE)&amp;""),"",VLOOKUP($A105,通讯录!$A:$M,4,FALSE)&amp;"")</f>
        <v/>
      </c>
      <c r="G105" s="41" t="str">
        <f>IF(ISERROR(VLOOKUP($A105,通讯录!$A:$M,8,FALSE)&amp;""),"",VLOOKUP($A105,通讯录!$A:$M,8,FALSE)&amp;"")</f>
        <v/>
      </c>
      <c r="H105" s="41"/>
      <c r="I105" s="41"/>
      <c r="J105" s="41"/>
      <c r="L105" s="29" t="str">
        <f t="shared" si="2"/>
        <v/>
      </c>
    </row>
    <row r="106" spans="2:12">
      <c r="B106" s="41" t="str">
        <f>IF(ISERROR(VLOOKUP($A106,通讯录!$A:$M,3,FALSE)&amp;""),"",VLOOKUP($A106,通讯录!$A:$M,3,FALSE)&amp;"")</f>
        <v/>
      </c>
      <c r="C106" s="41" t="str">
        <f>IF(ISERROR(VLOOKUP($A106,通讯录!$A:$M,7,FALSE)&amp;""),"",VLOOKUP($A106,通讯录!$A:$M,7,FALSE)&amp;"")</f>
        <v/>
      </c>
      <c r="D106" s="41" t="str">
        <f>IF(ISERROR(VLOOKUP($A106,通讯录!$A:$M,5,FALSE)&amp;""),"",VLOOKUP($A106,通讯录!$A:$M,5,FALSE)&amp;"")</f>
        <v/>
      </c>
      <c r="E106" s="41" t="str">
        <f>IF(ISERROR(VLOOKUP($A106,通讯录!$A:$M,6,FALSE)&amp;""),"",VLOOKUP($A106,通讯录!$A:$M,6,FALSE)&amp;"")</f>
        <v/>
      </c>
      <c r="F106" s="41" t="str">
        <f>IF(ISERROR(VLOOKUP($A106,通讯录!$A:$M,4,FALSE)&amp;""),"",VLOOKUP($A106,通讯录!$A:$M,4,FALSE)&amp;"")</f>
        <v/>
      </c>
      <c r="G106" s="41" t="str">
        <f>IF(ISERROR(VLOOKUP($A106,通讯录!$A:$M,8,FALSE)&amp;""),"",VLOOKUP($A106,通讯录!$A:$M,8,FALSE)&amp;"")</f>
        <v/>
      </c>
      <c r="H106" s="41"/>
      <c r="I106" s="41"/>
      <c r="J106" s="41"/>
      <c r="L106" s="29" t="str">
        <f t="shared" si="2"/>
        <v/>
      </c>
    </row>
    <row r="107" spans="2:12">
      <c r="B107" s="41" t="str">
        <f>IF(ISERROR(VLOOKUP($A107,通讯录!$A:$M,3,FALSE)&amp;""),"",VLOOKUP($A107,通讯录!$A:$M,3,FALSE)&amp;"")</f>
        <v/>
      </c>
      <c r="C107" s="41" t="str">
        <f>IF(ISERROR(VLOOKUP($A107,通讯录!$A:$M,7,FALSE)&amp;""),"",VLOOKUP($A107,通讯录!$A:$M,7,FALSE)&amp;"")</f>
        <v/>
      </c>
      <c r="D107" s="41" t="str">
        <f>IF(ISERROR(VLOOKUP($A107,通讯录!$A:$M,5,FALSE)&amp;""),"",VLOOKUP($A107,通讯录!$A:$M,5,FALSE)&amp;"")</f>
        <v/>
      </c>
      <c r="E107" s="41" t="str">
        <f>IF(ISERROR(VLOOKUP($A107,通讯录!$A:$M,6,FALSE)&amp;""),"",VLOOKUP($A107,通讯录!$A:$M,6,FALSE)&amp;"")</f>
        <v/>
      </c>
      <c r="F107" s="41" t="str">
        <f>IF(ISERROR(VLOOKUP($A107,通讯录!$A:$M,4,FALSE)&amp;""),"",VLOOKUP($A107,通讯录!$A:$M,4,FALSE)&amp;"")</f>
        <v/>
      </c>
      <c r="G107" s="41" t="str">
        <f>IF(ISERROR(VLOOKUP($A107,通讯录!$A:$M,8,FALSE)&amp;""),"",VLOOKUP($A107,通讯录!$A:$M,8,FALSE)&amp;"")</f>
        <v/>
      </c>
      <c r="H107" s="41"/>
      <c r="I107" s="41"/>
      <c r="J107" s="41"/>
      <c r="L107" s="29" t="str">
        <f t="shared" si="2"/>
        <v/>
      </c>
    </row>
    <row r="108" spans="2:12">
      <c r="B108" s="41" t="str">
        <f>IF(ISERROR(VLOOKUP($A108,通讯录!$A:$M,3,FALSE)&amp;""),"",VLOOKUP($A108,通讯录!$A:$M,3,FALSE)&amp;"")</f>
        <v/>
      </c>
      <c r="C108" s="41" t="str">
        <f>IF(ISERROR(VLOOKUP($A108,通讯录!$A:$M,7,FALSE)&amp;""),"",VLOOKUP($A108,通讯录!$A:$M,7,FALSE)&amp;"")</f>
        <v/>
      </c>
      <c r="D108" s="41" t="str">
        <f>IF(ISERROR(VLOOKUP($A108,通讯录!$A:$M,5,FALSE)&amp;""),"",VLOOKUP($A108,通讯录!$A:$M,5,FALSE)&amp;"")</f>
        <v/>
      </c>
      <c r="E108" s="41" t="str">
        <f>IF(ISERROR(VLOOKUP($A108,通讯录!$A:$M,6,FALSE)&amp;""),"",VLOOKUP($A108,通讯录!$A:$M,6,FALSE)&amp;"")</f>
        <v/>
      </c>
      <c r="F108" s="41" t="str">
        <f>IF(ISERROR(VLOOKUP($A108,通讯录!$A:$M,4,FALSE)&amp;""),"",VLOOKUP($A108,通讯录!$A:$M,4,FALSE)&amp;"")</f>
        <v/>
      </c>
      <c r="G108" s="41" t="str">
        <f>IF(ISERROR(VLOOKUP($A108,通讯录!$A:$M,8,FALSE)&amp;""),"",VLOOKUP($A108,通讯录!$A:$M,8,FALSE)&amp;"")</f>
        <v/>
      </c>
      <c r="H108" s="41"/>
      <c r="I108" s="41"/>
      <c r="J108" s="41"/>
      <c r="L108" s="29" t="str">
        <f t="shared" si="2"/>
        <v/>
      </c>
    </row>
    <row r="109" spans="2:12">
      <c r="B109" s="41" t="str">
        <f>IF(ISERROR(VLOOKUP($A109,通讯录!$A:$M,3,FALSE)&amp;""),"",VLOOKUP($A109,通讯录!$A:$M,3,FALSE)&amp;"")</f>
        <v/>
      </c>
      <c r="C109" s="41" t="str">
        <f>IF(ISERROR(VLOOKUP($A109,通讯录!$A:$M,7,FALSE)&amp;""),"",VLOOKUP($A109,通讯录!$A:$M,7,FALSE)&amp;"")</f>
        <v/>
      </c>
      <c r="D109" s="41" t="str">
        <f>IF(ISERROR(VLOOKUP($A109,通讯录!$A:$M,5,FALSE)&amp;""),"",VLOOKUP($A109,通讯录!$A:$M,5,FALSE)&amp;"")</f>
        <v/>
      </c>
      <c r="E109" s="41" t="str">
        <f>IF(ISERROR(VLOOKUP($A109,通讯录!$A:$M,6,FALSE)&amp;""),"",VLOOKUP($A109,通讯录!$A:$M,6,FALSE)&amp;"")</f>
        <v/>
      </c>
      <c r="F109" s="41" t="str">
        <f>IF(ISERROR(VLOOKUP($A109,通讯录!$A:$M,4,FALSE)&amp;""),"",VLOOKUP($A109,通讯录!$A:$M,4,FALSE)&amp;"")</f>
        <v/>
      </c>
      <c r="G109" s="41" t="str">
        <f>IF(ISERROR(VLOOKUP($A109,通讯录!$A:$M,8,FALSE)&amp;""),"",VLOOKUP($A109,通讯录!$A:$M,8,FALSE)&amp;"")</f>
        <v/>
      </c>
      <c r="H109" s="41"/>
      <c r="I109" s="41"/>
      <c r="J109" s="41"/>
      <c r="L109" s="29" t="str">
        <f t="shared" si="2"/>
        <v/>
      </c>
    </row>
    <row r="110" spans="2:12">
      <c r="B110" s="41" t="str">
        <f>IF(ISERROR(VLOOKUP($A110,通讯录!$A:$M,3,FALSE)&amp;""),"",VLOOKUP($A110,通讯录!$A:$M,3,FALSE)&amp;"")</f>
        <v/>
      </c>
      <c r="C110" s="41" t="str">
        <f>IF(ISERROR(VLOOKUP($A110,通讯录!$A:$M,7,FALSE)&amp;""),"",VLOOKUP($A110,通讯录!$A:$M,7,FALSE)&amp;"")</f>
        <v/>
      </c>
      <c r="D110" s="41" t="str">
        <f>IF(ISERROR(VLOOKUP($A110,通讯录!$A:$M,5,FALSE)&amp;""),"",VLOOKUP($A110,通讯录!$A:$M,5,FALSE)&amp;"")</f>
        <v/>
      </c>
      <c r="E110" s="41" t="str">
        <f>IF(ISERROR(VLOOKUP($A110,通讯录!$A:$M,6,FALSE)&amp;""),"",VLOOKUP($A110,通讯录!$A:$M,6,FALSE)&amp;"")</f>
        <v/>
      </c>
      <c r="F110" s="41" t="str">
        <f>IF(ISERROR(VLOOKUP($A110,通讯录!$A:$M,4,FALSE)&amp;""),"",VLOOKUP($A110,通讯录!$A:$M,4,FALSE)&amp;"")</f>
        <v/>
      </c>
      <c r="G110" s="41" t="str">
        <f>IF(ISERROR(VLOOKUP($A110,通讯录!$A:$M,8,FALSE)&amp;""),"",VLOOKUP($A110,通讯录!$A:$M,8,FALSE)&amp;"")</f>
        <v/>
      </c>
      <c r="H110" s="41"/>
      <c r="I110" s="41"/>
      <c r="J110" s="41"/>
      <c r="L110" s="29" t="str">
        <f t="shared" si="2"/>
        <v/>
      </c>
    </row>
    <row r="111" spans="2:12">
      <c r="B111" s="41" t="str">
        <f>IF(ISERROR(VLOOKUP($A111,通讯录!$A:$M,3,FALSE)&amp;""),"",VLOOKUP($A111,通讯录!$A:$M,3,FALSE)&amp;"")</f>
        <v/>
      </c>
      <c r="C111" s="41" t="str">
        <f>IF(ISERROR(VLOOKUP($A111,通讯录!$A:$M,7,FALSE)&amp;""),"",VLOOKUP($A111,通讯录!$A:$M,7,FALSE)&amp;"")</f>
        <v/>
      </c>
      <c r="D111" s="41" t="str">
        <f>IF(ISERROR(VLOOKUP($A111,通讯录!$A:$M,5,FALSE)&amp;""),"",VLOOKUP($A111,通讯录!$A:$M,5,FALSE)&amp;"")</f>
        <v/>
      </c>
      <c r="E111" s="41" t="str">
        <f>IF(ISERROR(VLOOKUP($A111,通讯录!$A:$M,6,FALSE)&amp;""),"",VLOOKUP($A111,通讯录!$A:$M,6,FALSE)&amp;"")</f>
        <v/>
      </c>
      <c r="F111" s="41" t="str">
        <f>IF(ISERROR(VLOOKUP($A111,通讯录!$A:$M,4,FALSE)&amp;""),"",VLOOKUP($A111,通讯录!$A:$M,4,FALSE)&amp;"")</f>
        <v/>
      </c>
      <c r="G111" s="41" t="str">
        <f>IF(ISERROR(VLOOKUP($A111,通讯录!$A:$M,8,FALSE)&amp;""),"",VLOOKUP($A111,通讯录!$A:$M,8,FALSE)&amp;"")</f>
        <v/>
      </c>
      <c r="H111" s="41"/>
      <c r="I111" s="41"/>
      <c r="J111" s="41"/>
      <c r="L111" s="29" t="str">
        <f t="shared" si="2"/>
        <v/>
      </c>
    </row>
    <row r="112" spans="2:12">
      <c r="B112" s="41" t="str">
        <f>IF(ISERROR(VLOOKUP($A112,通讯录!$A:$M,3,FALSE)&amp;""),"",VLOOKUP($A112,通讯录!$A:$M,3,FALSE)&amp;"")</f>
        <v/>
      </c>
      <c r="C112" s="41" t="str">
        <f>IF(ISERROR(VLOOKUP($A112,通讯录!$A:$M,7,FALSE)&amp;""),"",VLOOKUP($A112,通讯录!$A:$M,7,FALSE)&amp;"")</f>
        <v/>
      </c>
      <c r="D112" s="41" t="str">
        <f>IF(ISERROR(VLOOKUP($A112,通讯录!$A:$M,5,FALSE)&amp;""),"",VLOOKUP($A112,通讯录!$A:$M,5,FALSE)&amp;"")</f>
        <v/>
      </c>
      <c r="E112" s="41" t="str">
        <f>IF(ISERROR(VLOOKUP($A112,通讯录!$A:$M,6,FALSE)&amp;""),"",VLOOKUP($A112,通讯录!$A:$M,6,FALSE)&amp;"")</f>
        <v/>
      </c>
      <c r="F112" s="41" t="str">
        <f>IF(ISERROR(VLOOKUP($A112,通讯录!$A:$M,4,FALSE)&amp;""),"",VLOOKUP($A112,通讯录!$A:$M,4,FALSE)&amp;"")</f>
        <v/>
      </c>
      <c r="G112" s="41" t="str">
        <f>IF(ISERROR(VLOOKUP($A112,通讯录!$A:$M,8,FALSE)&amp;""),"",VLOOKUP($A112,通讯录!$A:$M,8,FALSE)&amp;"")</f>
        <v/>
      </c>
      <c r="H112" s="41"/>
      <c r="I112" s="41"/>
      <c r="J112" s="41"/>
      <c r="L112" s="29" t="str">
        <f t="shared" si="2"/>
        <v/>
      </c>
    </row>
    <row r="113" spans="2:12">
      <c r="B113" s="41" t="str">
        <f>IF(ISERROR(VLOOKUP($A113,通讯录!$A:$M,3,FALSE)&amp;""),"",VLOOKUP($A113,通讯录!$A:$M,3,FALSE)&amp;"")</f>
        <v/>
      </c>
      <c r="C113" s="41" t="str">
        <f>IF(ISERROR(VLOOKUP($A113,通讯录!$A:$M,7,FALSE)&amp;""),"",VLOOKUP($A113,通讯录!$A:$M,7,FALSE)&amp;"")</f>
        <v/>
      </c>
      <c r="D113" s="41" t="str">
        <f>IF(ISERROR(VLOOKUP($A113,通讯录!$A:$M,5,FALSE)&amp;""),"",VLOOKUP($A113,通讯录!$A:$M,5,FALSE)&amp;"")</f>
        <v/>
      </c>
      <c r="E113" s="41" t="str">
        <f>IF(ISERROR(VLOOKUP($A113,通讯录!$A:$M,6,FALSE)&amp;""),"",VLOOKUP($A113,通讯录!$A:$M,6,FALSE)&amp;"")</f>
        <v/>
      </c>
      <c r="F113" s="41" t="str">
        <f>IF(ISERROR(VLOOKUP($A113,通讯录!$A:$M,4,FALSE)&amp;""),"",VLOOKUP($A113,通讯录!$A:$M,4,FALSE)&amp;"")</f>
        <v/>
      </c>
      <c r="G113" s="41" t="str">
        <f>IF(ISERROR(VLOOKUP($A113,通讯录!$A:$M,8,FALSE)&amp;""),"",VLOOKUP($A113,通讯录!$A:$M,8,FALSE)&amp;"")</f>
        <v/>
      </c>
      <c r="H113" s="41"/>
      <c r="I113" s="41"/>
      <c r="J113" s="41"/>
      <c r="L113" s="29" t="str">
        <f t="shared" si="2"/>
        <v/>
      </c>
    </row>
    <row r="114" spans="2:12">
      <c r="B114" s="41" t="str">
        <f>IF(ISERROR(VLOOKUP($A114,通讯录!$A:$M,3,FALSE)&amp;""),"",VLOOKUP($A114,通讯录!$A:$M,3,FALSE)&amp;"")</f>
        <v/>
      </c>
      <c r="C114" s="41" t="str">
        <f>IF(ISERROR(VLOOKUP($A114,通讯录!$A:$M,7,FALSE)&amp;""),"",VLOOKUP($A114,通讯录!$A:$M,7,FALSE)&amp;"")</f>
        <v/>
      </c>
      <c r="D114" s="41" t="str">
        <f>IF(ISERROR(VLOOKUP($A114,通讯录!$A:$M,5,FALSE)&amp;""),"",VLOOKUP($A114,通讯录!$A:$M,5,FALSE)&amp;"")</f>
        <v/>
      </c>
      <c r="E114" s="41" t="str">
        <f>IF(ISERROR(VLOOKUP($A114,通讯录!$A:$M,6,FALSE)&amp;""),"",VLOOKUP($A114,通讯录!$A:$M,6,FALSE)&amp;"")</f>
        <v/>
      </c>
      <c r="F114" s="41" t="str">
        <f>IF(ISERROR(VLOOKUP($A114,通讯录!$A:$M,4,FALSE)&amp;""),"",VLOOKUP($A114,通讯录!$A:$M,4,FALSE)&amp;"")</f>
        <v/>
      </c>
      <c r="G114" s="41" t="str">
        <f>IF(ISERROR(VLOOKUP($A114,通讯录!$A:$M,8,FALSE)&amp;""),"",VLOOKUP($A114,通讯录!$A:$M,8,FALSE)&amp;"")</f>
        <v/>
      </c>
      <c r="H114" s="41"/>
      <c r="I114" s="41"/>
      <c r="J114" s="41"/>
      <c r="L114" s="29" t="str">
        <f t="shared" si="2"/>
        <v/>
      </c>
    </row>
    <row r="115" spans="2:12">
      <c r="B115" s="41" t="str">
        <f>IF(ISERROR(VLOOKUP($A115,通讯录!$A:$M,3,FALSE)&amp;""),"",VLOOKUP($A115,通讯录!$A:$M,3,FALSE)&amp;"")</f>
        <v/>
      </c>
      <c r="C115" s="41" t="str">
        <f>IF(ISERROR(VLOOKUP($A115,通讯录!$A:$M,7,FALSE)&amp;""),"",VLOOKUP($A115,通讯录!$A:$M,7,FALSE)&amp;"")</f>
        <v/>
      </c>
      <c r="D115" s="41" t="str">
        <f>IF(ISERROR(VLOOKUP($A115,通讯录!$A:$M,5,FALSE)&amp;""),"",VLOOKUP($A115,通讯录!$A:$M,5,FALSE)&amp;"")</f>
        <v/>
      </c>
      <c r="E115" s="41" t="str">
        <f>IF(ISERROR(VLOOKUP($A115,通讯录!$A:$M,6,FALSE)&amp;""),"",VLOOKUP($A115,通讯录!$A:$M,6,FALSE)&amp;"")</f>
        <v/>
      </c>
      <c r="F115" s="41" t="str">
        <f>IF(ISERROR(VLOOKUP($A115,通讯录!$A:$M,4,FALSE)&amp;""),"",VLOOKUP($A115,通讯录!$A:$M,4,FALSE)&amp;"")</f>
        <v/>
      </c>
      <c r="G115" s="41" t="str">
        <f>IF(ISERROR(VLOOKUP($A115,通讯录!$A:$M,8,FALSE)&amp;""),"",VLOOKUP($A115,通讯录!$A:$M,8,FALSE)&amp;"")</f>
        <v/>
      </c>
      <c r="H115" s="41"/>
      <c r="I115" s="41"/>
      <c r="J115" s="41"/>
      <c r="L115" s="29" t="str">
        <f t="shared" si="2"/>
        <v/>
      </c>
    </row>
    <row r="116" spans="2:12">
      <c r="B116" s="41" t="str">
        <f>IF(ISERROR(VLOOKUP($A116,通讯录!$A:$M,3,FALSE)&amp;""),"",VLOOKUP($A116,通讯录!$A:$M,3,FALSE)&amp;"")</f>
        <v/>
      </c>
      <c r="C116" s="41" t="str">
        <f>IF(ISERROR(VLOOKUP($A116,通讯录!$A:$M,7,FALSE)&amp;""),"",VLOOKUP($A116,通讯录!$A:$M,7,FALSE)&amp;"")</f>
        <v/>
      </c>
      <c r="D116" s="41" t="str">
        <f>IF(ISERROR(VLOOKUP($A116,通讯录!$A:$M,5,FALSE)&amp;""),"",VLOOKUP($A116,通讯录!$A:$M,5,FALSE)&amp;"")</f>
        <v/>
      </c>
      <c r="E116" s="41" t="str">
        <f>IF(ISERROR(VLOOKUP($A116,通讯录!$A:$M,6,FALSE)&amp;""),"",VLOOKUP($A116,通讯录!$A:$M,6,FALSE)&amp;"")</f>
        <v/>
      </c>
      <c r="F116" s="41" t="str">
        <f>IF(ISERROR(VLOOKUP($A116,通讯录!$A:$M,4,FALSE)&amp;""),"",VLOOKUP($A116,通讯录!$A:$M,4,FALSE)&amp;"")</f>
        <v/>
      </c>
      <c r="G116" s="41" t="str">
        <f>IF(ISERROR(VLOOKUP($A116,通讯录!$A:$M,8,FALSE)&amp;""),"",VLOOKUP($A116,通讯录!$A:$M,8,FALSE)&amp;"")</f>
        <v/>
      </c>
      <c r="H116" s="41"/>
      <c r="I116" s="41"/>
      <c r="J116" s="41"/>
      <c r="L116" s="29" t="str">
        <f t="shared" si="2"/>
        <v/>
      </c>
    </row>
    <row r="117" spans="2:12">
      <c r="B117" s="41" t="str">
        <f>IF(ISERROR(VLOOKUP($A117,通讯录!$A:$M,3,FALSE)&amp;""),"",VLOOKUP($A117,通讯录!$A:$M,3,FALSE)&amp;"")</f>
        <v/>
      </c>
      <c r="C117" s="41" t="str">
        <f>IF(ISERROR(VLOOKUP($A117,通讯录!$A:$M,7,FALSE)&amp;""),"",VLOOKUP($A117,通讯录!$A:$M,7,FALSE)&amp;"")</f>
        <v/>
      </c>
      <c r="D117" s="41" t="str">
        <f>IF(ISERROR(VLOOKUP($A117,通讯录!$A:$M,5,FALSE)&amp;""),"",VLOOKUP($A117,通讯录!$A:$M,5,FALSE)&amp;"")</f>
        <v/>
      </c>
      <c r="E117" s="41" t="str">
        <f>IF(ISERROR(VLOOKUP($A117,通讯录!$A:$M,6,FALSE)&amp;""),"",VLOOKUP($A117,通讯录!$A:$M,6,FALSE)&amp;"")</f>
        <v/>
      </c>
      <c r="F117" s="41" t="str">
        <f>IF(ISERROR(VLOOKUP($A117,通讯录!$A:$M,4,FALSE)&amp;""),"",VLOOKUP($A117,通讯录!$A:$M,4,FALSE)&amp;"")</f>
        <v/>
      </c>
      <c r="G117" s="41" t="str">
        <f>IF(ISERROR(VLOOKUP($A117,通讯录!$A:$M,8,FALSE)&amp;""),"",VLOOKUP($A117,通讯录!$A:$M,8,FALSE)&amp;"")</f>
        <v/>
      </c>
      <c r="H117" s="41"/>
      <c r="I117" s="41"/>
      <c r="J117" s="41"/>
      <c r="L117" s="29" t="str">
        <f t="shared" si="2"/>
        <v/>
      </c>
    </row>
    <row r="118" spans="2:12">
      <c r="B118" s="41" t="str">
        <f>IF(ISERROR(VLOOKUP($A118,通讯录!$A:$M,3,FALSE)&amp;""),"",VLOOKUP($A118,通讯录!$A:$M,3,FALSE)&amp;"")</f>
        <v/>
      </c>
      <c r="C118" s="41" t="str">
        <f>IF(ISERROR(VLOOKUP($A118,通讯录!$A:$M,7,FALSE)&amp;""),"",VLOOKUP($A118,通讯录!$A:$M,7,FALSE)&amp;"")</f>
        <v/>
      </c>
      <c r="D118" s="41" t="str">
        <f>IF(ISERROR(VLOOKUP($A118,通讯录!$A:$M,5,FALSE)&amp;""),"",VLOOKUP($A118,通讯录!$A:$M,5,FALSE)&amp;"")</f>
        <v/>
      </c>
      <c r="E118" s="41" t="str">
        <f>IF(ISERROR(VLOOKUP($A118,通讯录!$A:$M,6,FALSE)&amp;""),"",VLOOKUP($A118,通讯录!$A:$M,6,FALSE)&amp;"")</f>
        <v/>
      </c>
      <c r="F118" s="41" t="str">
        <f>IF(ISERROR(VLOOKUP($A118,通讯录!$A:$M,4,FALSE)&amp;""),"",VLOOKUP($A118,通讯录!$A:$M,4,FALSE)&amp;"")</f>
        <v/>
      </c>
      <c r="G118" s="41" t="str">
        <f>IF(ISERROR(VLOOKUP($A118,通讯录!$A:$M,8,FALSE)&amp;""),"",VLOOKUP($A118,通讯录!$A:$M,8,FALSE)&amp;"")</f>
        <v/>
      </c>
      <c r="H118" s="41"/>
      <c r="I118" s="41"/>
      <c r="J118" s="41"/>
      <c r="L118" s="29" t="str">
        <f t="shared" si="2"/>
        <v/>
      </c>
    </row>
    <row r="119" spans="2:12">
      <c r="B119" s="41" t="str">
        <f>IF(ISERROR(VLOOKUP($A119,通讯录!$A:$M,3,FALSE)&amp;""),"",VLOOKUP($A119,通讯录!$A:$M,3,FALSE)&amp;"")</f>
        <v/>
      </c>
      <c r="C119" s="41" t="str">
        <f>IF(ISERROR(VLOOKUP($A119,通讯录!$A:$M,7,FALSE)&amp;""),"",VLOOKUP($A119,通讯录!$A:$M,7,FALSE)&amp;"")</f>
        <v/>
      </c>
      <c r="D119" s="41" t="str">
        <f>IF(ISERROR(VLOOKUP($A119,通讯录!$A:$M,5,FALSE)&amp;""),"",VLOOKUP($A119,通讯录!$A:$M,5,FALSE)&amp;"")</f>
        <v/>
      </c>
      <c r="E119" s="41" t="str">
        <f>IF(ISERROR(VLOOKUP($A119,通讯录!$A:$M,6,FALSE)&amp;""),"",VLOOKUP($A119,通讯录!$A:$M,6,FALSE)&amp;"")</f>
        <v/>
      </c>
      <c r="F119" s="41" t="str">
        <f>IF(ISERROR(VLOOKUP($A119,通讯录!$A:$M,4,FALSE)&amp;""),"",VLOOKUP($A119,通讯录!$A:$M,4,FALSE)&amp;"")</f>
        <v/>
      </c>
      <c r="G119" s="41" t="str">
        <f>IF(ISERROR(VLOOKUP($A119,通讯录!$A:$M,8,FALSE)&amp;""),"",VLOOKUP($A119,通讯录!$A:$M,8,FALSE)&amp;"")</f>
        <v/>
      </c>
      <c r="H119" s="41"/>
      <c r="I119" s="41"/>
      <c r="J119" s="41"/>
      <c r="L119" s="29" t="str">
        <f t="shared" si="2"/>
        <v/>
      </c>
    </row>
    <row r="120" spans="2:12">
      <c r="B120" s="41" t="str">
        <f>IF(ISERROR(VLOOKUP($A120,通讯录!$A:$M,3,FALSE)&amp;""),"",VLOOKUP($A120,通讯录!$A:$M,3,FALSE)&amp;"")</f>
        <v/>
      </c>
      <c r="C120" s="41" t="str">
        <f>IF(ISERROR(VLOOKUP($A120,通讯录!$A:$M,7,FALSE)&amp;""),"",VLOOKUP($A120,通讯录!$A:$M,7,FALSE)&amp;"")</f>
        <v/>
      </c>
      <c r="D120" s="41" t="str">
        <f>IF(ISERROR(VLOOKUP($A120,通讯录!$A:$M,5,FALSE)&amp;""),"",VLOOKUP($A120,通讯录!$A:$M,5,FALSE)&amp;"")</f>
        <v/>
      </c>
      <c r="E120" s="41" t="str">
        <f>IF(ISERROR(VLOOKUP($A120,通讯录!$A:$M,6,FALSE)&amp;""),"",VLOOKUP($A120,通讯录!$A:$M,6,FALSE)&amp;"")</f>
        <v/>
      </c>
      <c r="F120" s="41" t="str">
        <f>IF(ISERROR(VLOOKUP($A120,通讯录!$A:$M,4,FALSE)&amp;""),"",VLOOKUP($A120,通讯录!$A:$M,4,FALSE)&amp;"")</f>
        <v/>
      </c>
      <c r="G120" s="41" t="str">
        <f>IF(ISERROR(VLOOKUP($A120,通讯录!$A:$M,8,FALSE)&amp;""),"",VLOOKUP($A120,通讯录!$A:$M,8,FALSE)&amp;"")</f>
        <v/>
      </c>
      <c r="H120" s="41"/>
      <c r="I120" s="41"/>
      <c r="J120" s="41"/>
      <c r="L120" s="29" t="str">
        <f t="shared" si="2"/>
        <v/>
      </c>
    </row>
    <row r="121" spans="2:12">
      <c r="B121" s="41" t="str">
        <f>IF(ISERROR(VLOOKUP($A121,通讯录!$A:$M,3,FALSE)&amp;""),"",VLOOKUP($A121,通讯录!$A:$M,3,FALSE)&amp;"")</f>
        <v/>
      </c>
      <c r="C121" s="41" t="str">
        <f>IF(ISERROR(VLOOKUP($A121,通讯录!$A:$M,7,FALSE)&amp;""),"",VLOOKUP($A121,通讯录!$A:$M,7,FALSE)&amp;"")</f>
        <v/>
      </c>
      <c r="D121" s="41" t="str">
        <f>IF(ISERROR(VLOOKUP($A121,通讯录!$A:$M,5,FALSE)&amp;""),"",VLOOKUP($A121,通讯录!$A:$M,5,FALSE)&amp;"")</f>
        <v/>
      </c>
      <c r="E121" s="41" t="str">
        <f>IF(ISERROR(VLOOKUP($A121,通讯录!$A:$M,6,FALSE)&amp;""),"",VLOOKUP($A121,通讯录!$A:$M,6,FALSE)&amp;"")</f>
        <v/>
      </c>
      <c r="F121" s="41" t="str">
        <f>IF(ISERROR(VLOOKUP($A121,通讯录!$A:$M,4,FALSE)&amp;""),"",VLOOKUP($A121,通讯录!$A:$M,4,FALSE)&amp;"")</f>
        <v/>
      </c>
      <c r="G121" s="41" t="str">
        <f>IF(ISERROR(VLOOKUP($A121,通讯录!$A:$M,8,FALSE)&amp;""),"",VLOOKUP($A121,通讯录!$A:$M,8,FALSE)&amp;"")</f>
        <v/>
      </c>
      <c r="H121" s="41"/>
      <c r="I121" s="41"/>
      <c r="J121" s="41"/>
      <c r="L121" s="29" t="str">
        <f t="shared" si="2"/>
        <v/>
      </c>
    </row>
    <row r="122" spans="2:12">
      <c r="B122" s="41" t="str">
        <f>IF(ISERROR(VLOOKUP($A122,通讯录!$A:$M,3,FALSE)&amp;""),"",VLOOKUP($A122,通讯录!$A:$M,3,FALSE)&amp;"")</f>
        <v/>
      </c>
      <c r="C122" s="41" t="str">
        <f>IF(ISERROR(VLOOKUP($A122,通讯录!$A:$M,7,FALSE)&amp;""),"",VLOOKUP($A122,通讯录!$A:$M,7,FALSE)&amp;"")</f>
        <v/>
      </c>
      <c r="D122" s="41" t="str">
        <f>IF(ISERROR(VLOOKUP($A122,通讯录!$A:$M,5,FALSE)&amp;""),"",VLOOKUP($A122,通讯录!$A:$M,5,FALSE)&amp;"")</f>
        <v/>
      </c>
      <c r="E122" s="41" t="str">
        <f>IF(ISERROR(VLOOKUP($A122,通讯录!$A:$M,6,FALSE)&amp;""),"",VLOOKUP($A122,通讯录!$A:$M,6,FALSE)&amp;"")</f>
        <v/>
      </c>
      <c r="F122" s="41" t="str">
        <f>IF(ISERROR(VLOOKUP($A122,通讯录!$A:$M,4,FALSE)&amp;""),"",VLOOKUP($A122,通讯录!$A:$M,4,FALSE)&amp;"")</f>
        <v/>
      </c>
      <c r="G122" s="41" t="str">
        <f>IF(ISERROR(VLOOKUP($A122,通讯录!$A:$M,8,FALSE)&amp;""),"",VLOOKUP($A122,通讯录!$A:$M,8,FALSE)&amp;"")</f>
        <v/>
      </c>
      <c r="H122" s="41"/>
      <c r="I122" s="41"/>
      <c r="J122" s="41"/>
      <c r="L122" s="29" t="str">
        <f t="shared" si="2"/>
        <v/>
      </c>
    </row>
    <row r="123" spans="2:12">
      <c r="B123" s="41" t="str">
        <f>IF(ISERROR(VLOOKUP($A123,通讯录!$A:$M,3,FALSE)&amp;""),"",VLOOKUP($A123,通讯录!$A:$M,3,FALSE)&amp;"")</f>
        <v/>
      </c>
      <c r="C123" s="41" t="str">
        <f>IF(ISERROR(VLOOKUP($A123,通讯录!$A:$M,7,FALSE)&amp;""),"",VLOOKUP($A123,通讯录!$A:$M,7,FALSE)&amp;"")</f>
        <v/>
      </c>
      <c r="D123" s="41" t="str">
        <f>IF(ISERROR(VLOOKUP($A123,通讯录!$A:$M,5,FALSE)&amp;""),"",VLOOKUP($A123,通讯录!$A:$M,5,FALSE)&amp;"")</f>
        <v/>
      </c>
      <c r="E123" s="41" t="str">
        <f>IF(ISERROR(VLOOKUP($A123,通讯录!$A:$M,6,FALSE)&amp;""),"",VLOOKUP($A123,通讯录!$A:$M,6,FALSE)&amp;"")</f>
        <v/>
      </c>
      <c r="F123" s="41" t="str">
        <f>IF(ISERROR(VLOOKUP($A123,通讯录!$A:$M,4,FALSE)&amp;""),"",VLOOKUP($A123,通讯录!$A:$M,4,FALSE)&amp;"")</f>
        <v/>
      </c>
      <c r="G123" s="41" t="str">
        <f>IF(ISERROR(VLOOKUP($A123,通讯录!$A:$M,8,FALSE)&amp;""),"",VLOOKUP($A123,通讯录!$A:$M,8,FALSE)&amp;"")</f>
        <v/>
      </c>
      <c r="H123" s="41"/>
      <c r="I123" s="41"/>
      <c r="J123" s="41"/>
      <c r="L123" s="29" t="str">
        <f t="shared" si="2"/>
        <v/>
      </c>
    </row>
    <row r="124" spans="2:12">
      <c r="B124" s="41" t="str">
        <f>IF(ISERROR(VLOOKUP($A124,通讯录!$A:$M,3,FALSE)&amp;""),"",VLOOKUP($A124,通讯录!$A:$M,3,FALSE)&amp;"")</f>
        <v/>
      </c>
      <c r="C124" s="41" t="str">
        <f>IF(ISERROR(VLOOKUP($A124,通讯录!$A:$M,7,FALSE)&amp;""),"",VLOOKUP($A124,通讯录!$A:$M,7,FALSE)&amp;"")</f>
        <v/>
      </c>
      <c r="D124" s="41" t="str">
        <f>IF(ISERROR(VLOOKUP($A124,通讯录!$A:$M,5,FALSE)&amp;""),"",VLOOKUP($A124,通讯录!$A:$M,5,FALSE)&amp;"")</f>
        <v/>
      </c>
      <c r="E124" s="41" t="str">
        <f>IF(ISERROR(VLOOKUP($A124,通讯录!$A:$M,6,FALSE)&amp;""),"",VLOOKUP($A124,通讯录!$A:$M,6,FALSE)&amp;"")</f>
        <v/>
      </c>
      <c r="F124" s="41" t="str">
        <f>IF(ISERROR(VLOOKUP($A124,通讯录!$A:$M,4,FALSE)&amp;""),"",VLOOKUP($A124,通讯录!$A:$M,4,FALSE)&amp;"")</f>
        <v/>
      </c>
      <c r="G124" s="41" t="str">
        <f>IF(ISERROR(VLOOKUP($A124,通讯录!$A:$M,8,FALSE)&amp;""),"",VLOOKUP($A124,通讯录!$A:$M,8,FALSE)&amp;"")</f>
        <v/>
      </c>
      <c r="H124" s="41"/>
      <c r="I124" s="41"/>
      <c r="J124" s="41"/>
      <c r="L124" s="29" t="str">
        <f t="shared" si="2"/>
        <v/>
      </c>
    </row>
    <row r="125" spans="2:12">
      <c r="B125" s="41" t="str">
        <f>IF(ISERROR(VLOOKUP($A125,通讯录!$A:$M,3,FALSE)&amp;""),"",VLOOKUP($A125,通讯录!$A:$M,3,FALSE)&amp;"")</f>
        <v/>
      </c>
      <c r="C125" s="41" t="str">
        <f>IF(ISERROR(VLOOKUP($A125,通讯录!$A:$M,7,FALSE)&amp;""),"",VLOOKUP($A125,通讯录!$A:$M,7,FALSE)&amp;"")</f>
        <v/>
      </c>
      <c r="D125" s="41" t="str">
        <f>IF(ISERROR(VLOOKUP($A125,通讯录!$A:$M,5,FALSE)&amp;""),"",VLOOKUP($A125,通讯录!$A:$M,5,FALSE)&amp;"")</f>
        <v/>
      </c>
      <c r="E125" s="41" t="str">
        <f>IF(ISERROR(VLOOKUP($A125,通讯录!$A:$M,6,FALSE)&amp;""),"",VLOOKUP($A125,通讯录!$A:$M,6,FALSE)&amp;"")</f>
        <v/>
      </c>
      <c r="F125" s="41" t="str">
        <f>IF(ISERROR(VLOOKUP($A125,通讯录!$A:$M,4,FALSE)&amp;""),"",VLOOKUP($A125,通讯录!$A:$M,4,FALSE)&amp;"")</f>
        <v/>
      </c>
      <c r="G125" s="41" t="str">
        <f>IF(ISERROR(VLOOKUP($A125,通讯录!$A:$M,8,FALSE)&amp;""),"",VLOOKUP($A125,通讯录!$A:$M,8,FALSE)&amp;"")</f>
        <v/>
      </c>
      <c r="H125" s="41"/>
      <c r="I125" s="41"/>
      <c r="J125" s="41"/>
      <c r="L125" s="29" t="str">
        <f t="shared" si="2"/>
        <v/>
      </c>
    </row>
    <row r="126" spans="2:12">
      <c r="B126" s="41" t="str">
        <f>IF(ISERROR(VLOOKUP($A126,通讯录!$A:$M,3,FALSE)&amp;""),"",VLOOKUP($A126,通讯录!$A:$M,3,FALSE)&amp;"")</f>
        <v/>
      </c>
      <c r="C126" s="41" t="str">
        <f>IF(ISERROR(VLOOKUP($A126,通讯录!$A:$M,7,FALSE)&amp;""),"",VLOOKUP($A126,通讯录!$A:$M,7,FALSE)&amp;"")</f>
        <v/>
      </c>
      <c r="D126" s="41" t="str">
        <f>IF(ISERROR(VLOOKUP($A126,通讯录!$A:$M,5,FALSE)&amp;""),"",VLOOKUP($A126,通讯录!$A:$M,5,FALSE)&amp;"")</f>
        <v/>
      </c>
      <c r="E126" s="41" t="str">
        <f>IF(ISERROR(VLOOKUP($A126,通讯录!$A:$M,6,FALSE)&amp;""),"",VLOOKUP($A126,通讯录!$A:$M,6,FALSE)&amp;"")</f>
        <v/>
      </c>
      <c r="F126" s="41" t="str">
        <f>IF(ISERROR(VLOOKUP($A126,通讯录!$A:$M,4,FALSE)&amp;""),"",VLOOKUP($A126,通讯录!$A:$M,4,FALSE)&amp;"")</f>
        <v/>
      </c>
      <c r="G126" s="41" t="str">
        <f>IF(ISERROR(VLOOKUP($A126,通讯录!$A:$M,8,FALSE)&amp;""),"",VLOOKUP($A126,通讯录!$A:$M,8,FALSE)&amp;"")</f>
        <v/>
      </c>
      <c r="H126" s="41"/>
      <c r="I126" s="41"/>
      <c r="J126" s="41"/>
      <c r="L126" s="29" t="str">
        <f t="shared" si="2"/>
        <v/>
      </c>
    </row>
    <row r="127" spans="2:12">
      <c r="B127" s="41" t="str">
        <f>IF(ISERROR(VLOOKUP($A127,通讯录!$A:$M,3,FALSE)&amp;""),"",VLOOKUP($A127,通讯录!$A:$M,3,FALSE)&amp;"")</f>
        <v/>
      </c>
      <c r="C127" s="41" t="str">
        <f>IF(ISERROR(VLOOKUP($A127,通讯录!$A:$M,7,FALSE)&amp;""),"",VLOOKUP($A127,通讯录!$A:$M,7,FALSE)&amp;"")</f>
        <v/>
      </c>
      <c r="D127" s="41" t="str">
        <f>IF(ISERROR(VLOOKUP($A127,通讯录!$A:$M,5,FALSE)&amp;""),"",VLOOKUP($A127,通讯录!$A:$M,5,FALSE)&amp;"")</f>
        <v/>
      </c>
      <c r="E127" s="41" t="str">
        <f>IF(ISERROR(VLOOKUP($A127,通讯录!$A:$M,6,FALSE)&amp;""),"",VLOOKUP($A127,通讯录!$A:$M,6,FALSE)&amp;"")</f>
        <v/>
      </c>
      <c r="F127" s="41" t="str">
        <f>IF(ISERROR(VLOOKUP($A127,通讯录!$A:$M,4,FALSE)&amp;""),"",VLOOKUP($A127,通讯录!$A:$M,4,FALSE)&amp;"")</f>
        <v/>
      </c>
      <c r="G127" s="41" t="str">
        <f>IF(ISERROR(VLOOKUP($A127,通讯录!$A:$M,8,FALSE)&amp;""),"",VLOOKUP($A127,通讯录!$A:$M,8,FALSE)&amp;"")</f>
        <v/>
      </c>
      <c r="H127" s="41"/>
      <c r="I127" s="41"/>
      <c r="J127" s="41"/>
      <c r="L127" s="29" t="str">
        <f t="shared" si="2"/>
        <v/>
      </c>
    </row>
    <row r="128" spans="2:12">
      <c r="B128" s="41" t="str">
        <f>IF(ISERROR(VLOOKUP($A128,通讯录!$A:$M,3,FALSE)&amp;""),"",VLOOKUP($A128,通讯录!$A:$M,3,FALSE)&amp;"")</f>
        <v/>
      </c>
      <c r="C128" s="41" t="str">
        <f>IF(ISERROR(VLOOKUP($A128,通讯录!$A:$M,7,FALSE)&amp;""),"",VLOOKUP($A128,通讯录!$A:$M,7,FALSE)&amp;"")</f>
        <v/>
      </c>
      <c r="D128" s="41" t="str">
        <f>IF(ISERROR(VLOOKUP($A128,通讯录!$A:$M,5,FALSE)&amp;""),"",VLOOKUP($A128,通讯录!$A:$M,5,FALSE)&amp;"")</f>
        <v/>
      </c>
      <c r="E128" s="41" t="str">
        <f>IF(ISERROR(VLOOKUP($A128,通讯录!$A:$M,6,FALSE)&amp;""),"",VLOOKUP($A128,通讯录!$A:$M,6,FALSE)&amp;"")</f>
        <v/>
      </c>
      <c r="F128" s="41" t="str">
        <f>IF(ISERROR(VLOOKUP($A128,通讯录!$A:$M,4,FALSE)&amp;""),"",VLOOKUP($A128,通讯录!$A:$M,4,FALSE)&amp;"")</f>
        <v/>
      </c>
      <c r="G128" s="41" t="str">
        <f>IF(ISERROR(VLOOKUP($A128,通讯录!$A:$M,8,FALSE)&amp;""),"",VLOOKUP($A128,通讯录!$A:$M,8,FALSE)&amp;"")</f>
        <v/>
      </c>
      <c r="H128" s="41"/>
      <c r="I128" s="41"/>
      <c r="J128" s="41"/>
      <c r="L128" s="29" t="str">
        <f t="shared" si="2"/>
        <v/>
      </c>
    </row>
    <row r="129" spans="2:12">
      <c r="B129" s="41" t="str">
        <f>IF(ISERROR(VLOOKUP($A129,通讯录!$A:$M,3,FALSE)&amp;""),"",VLOOKUP($A129,通讯录!$A:$M,3,FALSE)&amp;"")</f>
        <v/>
      </c>
      <c r="C129" s="41" t="str">
        <f>IF(ISERROR(VLOOKUP($A129,通讯录!$A:$M,7,FALSE)&amp;""),"",VLOOKUP($A129,通讯录!$A:$M,7,FALSE)&amp;"")</f>
        <v/>
      </c>
      <c r="D129" s="41" t="str">
        <f>IF(ISERROR(VLOOKUP($A129,通讯录!$A:$M,5,FALSE)&amp;""),"",VLOOKUP($A129,通讯录!$A:$M,5,FALSE)&amp;"")</f>
        <v/>
      </c>
      <c r="E129" s="41" t="str">
        <f>IF(ISERROR(VLOOKUP($A129,通讯录!$A:$M,6,FALSE)&amp;""),"",VLOOKUP($A129,通讯录!$A:$M,6,FALSE)&amp;"")</f>
        <v/>
      </c>
      <c r="F129" s="41" t="str">
        <f>IF(ISERROR(VLOOKUP($A129,通讯录!$A:$M,4,FALSE)&amp;""),"",VLOOKUP($A129,通讯录!$A:$M,4,FALSE)&amp;"")</f>
        <v/>
      </c>
      <c r="G129" s="41" t="str">
        <f>IF(ISERROR(VLOOKUP($A129,通讯录!$A:$M,8,FALSE)&amp;""),"",VLOOKUP($A129,通讯录!$A:$M,8,FALSE)&amp;"")</f>
        <v/>
      </c>
      <c r="H129" s="41"/>
      <c r="I129" s="41"/>
      <c r="J129" s="41"/>
      <c r="L129" s="29" t="str">
        <f t="shared" si="2"/>
        <v/>
      </c>
    </row>
    <row r="130" spans="2:12">
      <c r="B130" s="41" t="str">
        <f>IF(ISERROR(VLOOKUP($A130,通讯录!$A:$M,3,FALSE)&amp;""),"",VLOOKUP($A130,通讯录!$A:$M,3,FALSE)&amp;"")</f>
        <v/>
      </c>
      <c r="C130" s="41" t="str">
        <f>IF(ISERROR(VLOOKUP($A130,通讯录!$A:$M,7,FALSE)&amp;""),"",VLOOKUP($A130,通讯录!$A:$M,7,FALSE)&amp;"")</f>
        <v/>
      </c>
      <c r="D130" s="41" t="str">
        <f>IF(ISERROR(VLOOKUP($A130,通讯录!$A:$M,5,FALSE)&amp;""),"",VLOOKUP($A130,通讯录!$A:$M,5,FALSE)&amp;"")</f>
        <v/>
      </c>
      <c r="E130" s="41" t="str">
        <f>IF(ISERROR(VLOOKUP($A130,通讯录!$A:$M,6,FALSE)&amp;""),"",VLOOKUP($A130,通讯录!$A:$M,6,FALSE)&amp;"")</f>
        <v/>
      </c>
      <c r="F130" s="41" t="str">
        <f>IF(ISERROR(VLOOKUP($A130,通讯录!$A:$M,4,FALSE)&amp;""),"",VLOOKUP($A130,通讯录!$A:$M,4,FALSE)&amp;"")</f>
        <v/>
      </c>
      <c r="G130" s="41" t="str">
        <f>IF(ISERROR(VLOOKUP($A130,通讯录!$A:$M,8,FALSE)&amp;""),"",VLOOKUP($A130,通讯录!$A:$M,8,FALSE)&amp;"")</f>
        <v/>
      </c>
      <c r="H130" s="41"/>
      <c r="I130" s="41"/>
      <c r="J130" s="41"/>
      <c r="L130" s="29" t="str">
        <f t="shared" si="2"/>
        <v/>
      </c>
    </row>
    <row r="131" spans="2:12">
      <c r="B131" s="41" t="str">
        <f>IF(ISERROR(VLOOKUP($A131,通讯录!$A:$M,3,FALSE)&amp;""),"",VLOOKUP($A131,通讯录!$A:$M,3,FALSE)&amp;"")</f>
        <v/>
      </c>
      <c r="C131" s="41" t="str">
        <f>IF(ISERROR(VLOOKUP($A131,通讯录!$A:$M,7,FALSE)&amp;""),"",VLOOKUP($A131,通讯录!$A:$M,7,FALSE)&amp;"")</f>
        <v/>
      </c>
      <c r="D131" s="41" t="str">
        <f>IF(ISERROR(VLOOKUP($A131,通讯录!$A:$M,5,FALSE)&amp;""),"",VLOOKUP($A131,通讯录!$A:$M,5,FALSE)&amp;"")</f>
        <v/>
      </c>
      <c r="E131" s="41" t="str">
        <f>IF(ISERROR(VLOOKUP($A131,通讯录!$A:$M,6,FALSE)&amp;""),"",VLOOKUP($A131,通讯录!$A:$M,6,FALSE)&amp;"")</f>
        <v/>
      </c>
      <c r="F131" s="41" t="str">
        <f>IF(ISERROR(VLOOKUP($A131,通讯录!$A:$M,4,FALSE)&amp;""),"",VLOOKUP($A131,通讯录!$A:$M,4,FALSE)&amp;"")</f>
        <v/>
      </c>
      <c r="G131" s="41" t="str">
        <f>IF(ISERROR(VLOOKUP($A131,通讯录!$A:$M,8,FALSE)&amp;""),"",VLOOKUP($A131,通讯录!$A:$M,8,FALSE)&amp;"")</f>
        <v/>
      </c>
      <c r="H131" s="41"/>
      <c r="I131" s="41"/>
      <c r="J131" s="41"/>
      <c r="L131" s="29" t="str">
        <f t="shared" si="2"/>
        <v/>
      </c>
    </row>
    <row r="132" spans="2:12">
      <c r="B132" s="41" t="str">
        <f>IF(ISERROR(VLOOKUP($A132,通讯录!$A:$M,3,FALSE)&amp;""),"",VLOOKUP($A132,通讯录!$A:$M,3,FALSE)&amp;"")</f>
        <v/>
      </c>
      <c r="C132" s="41" t="str">
        <f>IF(ISERROR(VLOOKUP($A132,通讯录!$A:$M,7,FALSE)&amp;""),"",VLOOKUP($A132,通讯录!$A:$M,7,FALSE)&amp;"")</f>
        <v/>
      </c>
      <c r="D132" s="41" t="str">
        <f>IF(ISERROR(VLOOKUP($A132,通讯录!$A:$M,5,FALSE)&amp;""),"",VLOOKUP($A132,通讯录!$A:$M,5,FALSE)&amp;"")</f>
        <v/>
      </c>
      <c r="E132" s="41" t="str">
        <f>IF(ISERROR(VLOOKUP($A132,通讯录!$A:$M,6,FALSE)&amp;""),"",VLOOKUP($A132,通讯录!$A:$M,6,FALSE)&amp;"")</f>
        <v/>
      </c>
      <c r="F132" s="41" t="str">
        <f>IF(ISERROR(VLOOKUP($A132,通讯录!$A:$M,4,FALSE)&amp;""),"",VLOOKUP($A132,通讯录!$A:$M,4,FALSE)&amp;"")</f>
        <v/>
      </c>
      <c r="G132" s="41" t="str">
        <f>IF(ISERROR(VLOOKUP($A132,通讯录!$A:$M,8,FALSE)&amp;""),"",VLOOKUP($A132,通讯录!$A:$M,8,FALSE)&amp;"")</f>
        <v/>
      </c>
      <c r="H132" s="41"/>
      <c r="I132" s="41"/>
      <c r="J132" s="41"/>
      <c r="L132" s="29" t="str">
        <f t="shared" si="2"/>
        <v/>
      </c>
    </row>
    <row r="133" spans="2:12">
      <c r="B133" s="41" t="str">
        <f>IF(ISERROR(VLOOKUP($A133,通讯录!$A:$M,3,FALSE)&amp;""),"",VLOOKUP($A133,通讯录!$A:$M,3,FALSE)&amp;"")</f>
        <v/>
      </c>
      <c r="C133" s="41" t="str">
        <f>IF(ISERROR(VLOOKUP($A133,通讯录!$A:$M,7,FALSE)&amp;""),"",VLOOKUP($A133,通讯录!$A:$M,7,FALSE)&amp;"")</f>
        <v/>
      </c>
      <c r="D133" s="41" t="str">
        <f>IF(ISERROR(VLOOKUP($A133,通讯录!$A:$M,5,FALSE)&amp;""),"",VLOOKUP($A133,通讯录!$A:$M,5,FALSE)&amp;"")</f>
        <v/>
      </c>
      <c r="E133" s="41" t="str">
        <f>IF(ISERROR(VLOOKUP($A133,通讯录!$A:$M,6,FALSE)&amp;""),"",VLOOKUP($A133,通讯录!$A:$M,6,FALSE)&amp;"")</f>
        <v/>
      </c>
      <c r="F133" s="41" t="str">
        <f>IF(ISERROR(VLOOKUP($A133,通讯录!$A:$M,4,FALSE)&amp;""),"",VLOOKUP($A133,通讯录!$A:$M,4,FALSE)&amp;"")</f>
        <v/>
      </c>
      <c r="G133" s="41" t="str">
        <f>IF(ISERROR(VLOOKUP($A133,通讯录!$A:$M,8,FALSE)&amp;""),"",VLOOKUP($A133,通讯录!$A:$M,8,FALSE)&amp;"")</f>
        <v/>
      </c>
      <c r="H133" s="41"/>
      <c r="I133" s="41"/>
      <c r="J133" s="41"/>
      <c r="L133" s="29" t="str">
        <f t="shared" si="2"/>
        <v/>
      </c>
    </row>
    <row r="134" spans="2:12">
      <c r="B134" s="41" t="str">
        <f>IF(ISERROR(VLOOKUP($A134,通讯录!$A:$M,3,FALSE)&amp;""),"",VLOOKUP($A134,通讯录!$A:$M,3,FALSE)&amp;"")</f>
        <v/>
      </c>
      <c r="C134" s="41" t="str">
        <f>IF(ISERROR(VLOOKUP($A134,通讯录!$A:$M,7,FALSE)&amp;""),"",VLOOKUP($A134,通讯录!$A:$M,7,FALSE)&amp;"")</f>
        <v/>
      </c>
      <c r="D134" s="41" t="str">
        <f>IF(ISERROR(VLOOKUP($A134,通讯录!$A:$M,5,FALSE)&amp;""),"",VLOOKUP($A134,通讯录!$A:$M,5,FALSE)&amp;"")</f>
        <v/>
      </c>
      <c r="E134" s="41" t="str">
        <f>IF(ISERROR(VLOOKUP($A134,通讯录!$A:$M,6,FALSE)&amp;""),"",VLOOKUP($A134,通讯录!$A:$M,6,FALSE)&amp;"")</f>
        <v/>
      </c>
      <c r="F134" s="41" t="str">
        <f>IF(ISERROR(VLOOKUP($A134,通讯录!$A:$M,4,FALSE)&amp;""),"",VLOOKUP($A134,通讯录!$A:$M,4,FALSE)&amp;"")</f>
        <v/>
      </c>
      <c r="G134" s="41" t="str">
        <f>IF(ISERROR(VLOOKUP($A134,通讯录!$A:$M,8,FALSE)&amp;""),"",VLOOKUP($A134,通讯录!$A:$M,8,FALSE)&amp;"")</f>
        <v/>
      </c>
      <c r="H134" s="41"/>
      <c r="I134" s="41"/>
      <c r="J134" s="41"/>
      <c r="L134" s="29" t="str">
        <f t="shared" si="2"/>
        <v/>
      </c>
    </row>
    <row r="135" spans="2:12">
      <c r="B135" s="41" t="str">
        <f>IF(ISERROR(VLOOKUP($A135,通讯录!$A:$M,3,FALSE)&amp;""),"",VLOOKUP($A135,通讯录!$A:$M,3,FALSE)&amp;"")</f>
        <v/>
      </c>
      <c r="C135" s="41" t="str">
        <f>IF(ISERROR(VLOOKUP($A135,通讯录!$A:$M,7,FALSE)&amp;""),"",VLOOKUP($A135,通讯录!$A:$M,7,FALSE)&amp;"")</f>
        <v/>
      </c>
      <c r="D135" s="41" t="str">
        <f>IF(ISERROR(VLOOKUP($A135,通讯录!$A:$M,5,FALSE)&amp;""),"",VLOOKUP($A135,通讯录!$A:$M,5,FALSE)&amp;"")</f>
        <v/>
      </c>
      <c r="E135" s="41" t="str">
        <f>IF(ISERROR(VLOOKUP($A135,通讯录!$A:$M,6,FALSE)&amp;""),"",VLOOKUP($A135,通讯录!$A:$M,6,FALSE)&amp;"")</f>
        <v/>
      </c>
      <c r="F135" s="41" t="str">
        <f>IF(ISERROR(VLOOKUP($A135,通讯录!$A:$M,4,FALSE)&amp;""),"",VLOOKUP($A135,通讯录!$A:$M,4,FALSE)&amp;"")</f>
        <v/>
      </c>
      <c r="G135" s="41" t="str">
        <f>IF(ISERROR(VLOOKUP($A135,通讯录!$A:$M,8,FALSE)&amp;""),"",VLOOKUP($A135,通讯录!$A:$M,8,FALSE)&amp;"")</f>
        <v/>
      </c>
      <c r="H135" s="41"/>
      <c r="I135" s="41"/>
      <c r="J135" s="41"/>
      <c r="L135" s="29" t="str">
        <f t="shared" si="2"/>
        <v/>
      </c>
    </row>
    <row r="136" spans="2:12">
      <c r="B136" s="41" t="str">
        <f>IF(ISERROR(VLOOKUP($A136,通讯录!$A:$M,3,FALSE)&amp;""),"",VLOOKUP($A136,通讯录!$A:$M,3,FALSE)&amp;"")</f>
        <v/>
      </c>
      <c r="C136" s="41" t="str">
        <f>IF(ISERROR(VLOOKUP($A136,通讯录!$A:$M,7,FALSE)&amp;""),"",VLOOKUP($A136,通讯录!$A:$M,7,FALSE)&amp;"")</f>
        <v/>
      </c>
      <c r="D136" s="41" t="str">
        <f>IF(ISERROR(VLOOKUP($A136,通讯录!$A:$M,5,FALSE)&amp;""),"",VLOOKUP($A136,通讯录!$A:$M,5,FALSE)&amp;"")</f>
        <v/>
      </c>
      <c r="E136" s="41" t="str">
        <f>IF(ISERROR(VLOOKUP($A136,通讯录!$A:$M,6,FALSE)&amp;""),"",VLOOKUP($A136,通讯录!$A:$M,6,FALSE)&amp;"")</f>
        <v/>
      </c>
      <c r="F136" s="41" t="str">
        <f>IF(ISERROR(VLOOKUP($A136,通讯录!$A:$M,4,FALSE)&amp;""),"",VLOOKUP($A136,通讯录!$A:$M,4,FALSE)&amp;"")</f>
        <v/>
      </c>
      <c r="G136" s="41" t="str">
        <f>IF(ISERROR(VLOOKUP($A136,通讯录!$A:$M,8,FALSE)&amp;""),"",VLOOKUP($A136,通讯录!$A:$M,8,FALSE)&amp;"")</f>
        <v/>
      </c>
      <c r="H136" s="41"/>
      <c r="I136" s="41"/>
      <c r="J136" s="41"/>
      <c r="L136" s="29" t="str">
        <f t="shared" si="2"/>
        <v/>
      </c>
    </row>
    <row r="137" spans="2:12">
      <c r="B137" s="41" t="str">
        <f>IF(ISERROR(VLOOKUP($A137,通讯录!$A:$M,3,FALSE)&amp;""),"",VLOOKUP($A137,通讯录!$A:$M,3,FALSE)&amp;"")</f>
        <v/>
      </c>
      <c r="C137" s="41" t="str">
        <f>IF(ISERROR(VLOOKUP($A137,通讯录!$A:$M,7,FALSE)&amp;""),"",VLOOKUP($A137,通讯录!$A:$M,7,FALSE)&amp;"")</f>
        <v/>
      </c>
      <c r="D137" s="41" t="str">
        <f>IF(ISERROR(VLOOKUP($A137,通讯录!$A:$M,5,FALSE)&amp;""),"",VLOOKUP($A137,通讯录!$A:$M,5,FALSE)&amp;"")</f>
        <v/>
      </c>
      <c r="E137" s="41" t="str">
        <f>IF(ISERROR(VLOOKUP($A137,通讯录!$A:$M,6,FALSE)&amp;""),"",VLOOKUP($A137,通讯录!$A:$M,6,FALSE)&amp;"")</f>
        <v/>
      </c>
      <c r="F137" s="41" t="str">
        <f>IF(ISERROR(VLOOKUP($A137,通讯录!$A:$M,4,FALSE)&amp;""),"",VLOOKUP($A137,通讯录!$A:$M,4,FALSE)&amp;"")</f>
        <v/>
      </c>
      <c r="G137" s="41" t="str">
        <f>IF(ISERROR(VLOOKUP($A137,通讯录!$A:$M,8,FALSE)&amp;""),"",VLOOKUP($A137,通讯录!$A:$M,8,FALSE)&amp;"")</f>
        <v/>
      </c>
      <c r="H137" s="41"/>
      <c r="I137" s="41"/>
      <c r="J137" s="41"/>
      <c r="L137" s="29" t="str">
        <f t="shared" si="2"/>
        <v/>
      </c>
    </row>
    <row r="138" spans="2:12">
      <c r="B138" s="41" t="str">
        <f>IF(ISERROR(VLOOKUP($A138,通讯录!$A:$M,3,FALSE)&amp;""),"",VLOOKUP($A138,通讯录!$A:$M,3,FALSE)&amp;"")</f>
        <v/>
      </c>
      <c r="C138" s="41" t="str">
        <f>IF(ISERROR(VLOOKUP($A138,通讯录!$A:$M,7,FALSE)&amp;""),"",VLOOKUP($A138,通讯录!$A:$M,7,FALSE)&amp;"")</f>
        <v/>
      </c>
      <c r="D138" s="41" t="str">
        <f>IF(ISERROR(VLOOKUP($A138,通讯录!$A:$M,5,FALSE)&amp;""),"",VLOOKUP($A138,通讯录!$A:$M,5,FALSE)&amp;"")</f>
        <v/>
      </c>
      <c r="E138" s="41" t="str">
        <f>IF(ISERROR(VLOOKUP($A138,通讯录!$A:$M,6,FALSE)&amp;""),"",VLOOKUP($A138,通讯录!$A:$M,6,FALSE)&amp;"")</f>
        <v/>
      </c>
      <c r="F138" s="41" t="str">
        <f>IF(ISERROR(VLOOKUP($A138,通讯录!$A:$M,4,FALSE)&amp;""),"",VLOOKUP($A138,通讯录!$A:$M,4,FALSE)&amp;"")</f>
        <v/>
      </c>
      <c r="G138" s="41" t="str">
        <f>IF(ISERROR(VLOOKUP($A138,通讯录!$A:$M,8,FALSE)&amp;""),"",VLOOKUP($A138,通讯录!$A:$M,8,FALSE)&amp;"")</f>
        <v/>
      </c>
      <c r="H138" s="41"/>
      <c r="I138" s="41"/>
      <c r="J138" s="41"/>
      <c r="L138" s="29" t="str">
        <f t="shared" si="2"/>
        <v/>
      </c>
    </row>
    <row r="139" spans="2:12">
      <c r="B139" s="41" t="str">
        <f>IF(ISERROR(VLOOKUP($A139,通讯录!$A:$M,3,FALSE)&amp;""),"",VLOOKUP($A139,通讯录!$A:$M,3,FALSE)&amp;"")</f>
        <v/>
      </c>
      <c r="C139" s="41" t="str">
        <f>IF(ISERROR(VLOOKUP($A139,通讯录!$A:$M,7,FALSE)&amp;""),"",VLOOKUP($A139,通讯录!$A:$M,7,FALSE)&amp;"")</f>
        <v/>
      </c>
      <c r="D139" s="41" t="str">
        <f>IF(ISERROR(VLOOKUP($A139,通讯录!$A:$M,5,FALSE)&amp;""),"",VLOOKUP($A139,通讯录!$A:$M,5,FALSE)&amp;"")</f>
        <v/>
      </c>
      <c r="E139" s="41" t="str">
        <f>IF(ISERROR(VLOOKUP($A139,通讯录!$A:$M,6,FALSE)&amp;""),"",VLOOKUP($A139,通讯录!$A:$M,6,FALSE)&amp;"")</f>
        <v/>
      </c>
      <c r="F139" s="41" t="str">
        <f>IF(ISERROR(VLOOKUP($A139,通讯录!$A:$M,4,FALSE)&amp;""),"",VLOOKUP($A139,通讯录!$A:$M,4,FALSE)&amp;"")</f>
        <v/>
      </c>
      <c r="G139" s="41" t="str">
        <f>IF(ISERROR(VLOOKUP($A139,通讯录!$A:$M,8,FALSE)&amp;""),"",VLOOKUP($A139,通讯录!$A:$M,8,FALSE)&amp;"")</f>
        <v/>
      </c>
      <c r="H139" s="41"/>
      <c r="I139" s="41"/>
      <c r="J139" s="41"/>
      <c r="L139" s="29" t="str">
        <f t="shared" si="2"/>
        <v/>
      </c>
    </row>
    <row r="140" spans="2:12">
      <c r="B140" s="41" t="str">
        <f>IF(ISERROR(VLOOKUP($A140,通讯录!$A:$M,3,FALSE)&amp;""),"",VLOOKUP($A140,通讯录!$A:$M,3,FALSE)&amp;"")</f>
        <v/>
      </c>
      <c r="C140" s="41" t="str">
        <f>IF(ISERROR(VLOOKUP($A140,通讯录!$A:$M,7,FALSE)&amp;""),"",VLOOKUP($A140,通讯录!$A:$M,7,FALSE)&amp;"")</f>
        <v/>
      </c>
      <c r="D140" s="41" t="str">
        <f>IF(ISERROR(VLOOKUP($A140,通讯录!$A:$M,5,FALSE)&amp;""),"",VLOOKUP($A140,通讯录!$A:$M,5,FALSE)&amp;"")</f>
        <v/>
      </c>
      <c r="E140" s="41" t="str">
        <f>IF(ISERROR(VLOOKUP($A140,通讯录!$A:$M,6,FALSE)&amp;""),"",VLOOKUP($A140,通讯录!$A:$M,6,FALSE)&amp;"")</f>
        <v/>
      </c>
      <c r="F140" s="41" t="str">
        <f>IF(ISERROR(VLOOKUP($A140,通讯录!$A:$M,4,FALSE)&amp;""),"",VLOOKUP($A140,通讯录!$A:$M,4,FALSE)&amp;"")</f>
        <v/>
      </c>
      <c r="G140" s="41" t="str">
        <f>IF(ISERROR(VLOOKUP($A140,通讯录!$A:$M,8,FALSE)&amp;""),"",VLOOKUP($A140,通讯录!$A:$M,8,FALSE)&amp;"")</f>
        <v/>
      </c>
      <c r="H140" s="41"/>
      <c r="I140" s="41"/>
      <c r="J140" s="41"/>
      <c r="L140" s="29" t="str">
        <f t="shared" si="2"/>
        <v/>
      </c>
    </row>
    <row r="141" spans="2:12">
      <c r="B141" s="41" t="str">
        <f>IF(ISERROR(VLOOKUP($A141,通讯录!$A:$M,3,FALSE)&amp;""),"",VLOOKUP($A141,通讯录!$A:$M,3,FALSE)&amp;"")</f>
        <v/>
      </c>
      <c r="C141" s="41" t="str">
        <f>IF(ISERROR(VLOOKUP($A141,通讯录!$A:$M,7,FALSE)&amp;""),"",VLOOKUP($A141,通讯录!$A:$M,7,FALSE)&amp;"")</f>
        <v/>
      </c>
      <c r="D141" s="41" t="str">
        <f>IF(ISERROR(VLOOKUP($A141,通讯录!$A:$M,5,FALSE)&amp;""),"",VLOOKUP($A141,通讯录!$A:$M,5,FALSE)&amp;"")</f>
        <v/>
      </c>
      <c r="E141" s="41" t="str">
        <f>IF(ISERROR(VLOOKUP($A141,通讯录!$A:$M,6,FALSE)&amp;""),"",VLOOKUP($A141,通讯录!$A:$M,6,FALSE)&amp;"")</f>
        <v/>
      </c>
      <c r="F141" s="41" t="str">
        <f>IF(ISERROR(VLOOKUP($A141,通讯录!$A:$M,4,FALSE)&amp;""),"",VLOOKUP($A141,通讯录!$A:$M,4,FALSE)&amp;"")</f>
        <v/>
      </c>
      <c r="G141" s="41" t="str">
        <f>IF(ISERROR(VLOOKUP($A141,通讯录!$A:$M,8,FALSE)&amp;""),"",VLOOKUP($A141,通讯录!$A:$M,8,FALSE)&amp;"")</f>
        <v/>
      </c>
      <c r="H141" s="41"/>
      <c r="I141" s="41"/>
      <c r="J141" s="41"/>
      <c r="L141" s="29" t="str">
        <f t="shared" si="2"/>
        <v/>
      </c>
    </row>
    <row r="142" spans="2:12">
      <c r="B142" s="41" t="str">
        <f>IF(ISERROR(VLOOKUP($A142,通讯录!$A:$M,3,FALSE)&amp;""),"",VLOOKUP($A142,通讯录!$A:$M,3,FALSE)&amp;"")</f>
        <v/>
      </c>
      <c r="C142" s="41" t="str">
        <f>IF(ISERROR(VLOOKUP($A142,通讯录!$A:$M,7,FALSE)&amp;""),"",VLOOKUP($A142,通讯录!$A:$M,7,FALSE)&amp;"")</f>
        <v/>
      </c>
      <c r="D142" s="41" t="str">
        <f>IF(ISERROR(VLOOKUP($A142,通讯录!$A:$M,5,FALSE)&amp;""),"",VLOOKUP($A142,通讯录!$A:$M,5,FALSE)&amp;"")</f>
        <v/>
      </c>
      <c r="E142" s="41" t="str">
        <f>IF(ISERROR(VLOOKUP($A142,通讯录!$A:$M,6,FALSE)&amp;""),"",VLOOKUP($A142,通讯录!$A:$M,6,FALSE)&amp;"")</f>
        <v/>
      </c>
      <c r="F142" s="41" t="str">
        <f>IF(ISERROR(VLOOKUP($A142,通讯录!$A:$M,4,FALSE)&amp;""),"",VLOOKUP($A142,通讯录!$A:$M,4,FALSE)&amp;"")</f>
        <v/>
      </c>
      <c r="G142" s="41" t="str">
        <f>IF(ISERROR(VLOOKUP($A142,通讯录!$A:$M,8,FALSE)&amp;""),"",VLOOKUP($A142,通讯录!$A:$M,8,FALSE)&amp;"")</f>
        <v/>
      </c>
      <c r="H142" s="41"/>
      <c r="I142" s="41"/>
      <c r="J142" s="41"/>
      <c r="L142" s="29" t="str">
        <f t="shared" si="2"/>
        <v/>
      </c>
    </row>
    <row r="143" spans="2:12">
      <c r="B143" s="41" t="str">
        <f>IF(ISERROR(VLOOKUP($A143,通讯录!$A:$M,3,FALSE)&amp;""),"",VLOOKUP($A143,通讯录!$A:$M,3,FALSE)&amp;"")</f>
        <v/>
      </c>
      <c r="C143" s="41" t="str">
        <f>IF(ISERROR(VLOOKUP($A143,通讯录!$A:$M,7,FALSE)&amp;""),"",VLOOKUP($A143,通讯录!$A:$M,7,FALSE)&amp;"")</f>
        <v/>
      </c>
      <c r="D143" s="41" t="str">
        <f>IF(ISERROR(VLOOKUP($A143,通讯录!$A:$M,5,FALSE)&amp;""),"",VLOOKUP($A143,通讯录!$A:$M,5,FALSE)&amp;"")</f>
        <v/>
      </c>
      <c r="E143" s="41" t="str">
        <f>IF(ISERROR(VLOOKUP($A143,通讯录!$A:$M,6,FALSE)&amp;""),"",VLOOKUP($A143,通讯录!$A:$M,6,FALSE)&amp;"")</f>
        <v/>
      </c>
      <c r="F143" s="41" t="str">
        <f>IF(ISERROR(VLOOKUP($A143,通讯录!$A:$M,4,FALSE)&amp;""),"",VLOOKUP($A143,通讯录!$A:$M,4,FALSE)&amp;"")</f>
        <v/>
      </c>
      <c r="G143" s="41" t="str">
        <f>IF(ISERROR(VLOOKUP($A143,通讯录!$A:$M,8,FALSE)&amp;""),"",VLOOKUP($A143,通讯录!$A:$M,8,FALSE)&amp;"")</f>
        <v/>
      </c>
      <c r="H143" s="41"/>
      <c r="I143" s="41"/>
      <c r="J143" s="41"/>
      <c r="L143" s="29" t="str">
        <f t="shared" si="2"/>
        <v/>
      </c>
    </row>
    <row r="144" spans="2:12">
      <c r="B144" s="41" t="str">
        <f>IF(ISERROR(VLOOKUP($A144,通讯录!$A:$M,3,FALSE)&amp;""),"",VLOOKUP($A144,通讯录!$A:$M,3,FALSE)&amp;"")</f>
        <v/>
      </c>
      <c r="C144" s="41" t="str">
        <f>IF(ISERROR(VLOOKUP($A144,通讯录!$A:$M,7,FALSE)&amp;""),"",VLOOKUP($A144,通讯录!$A:$M,7,FALSE)&amp;"")</f>
        <v/>
      </c>
      <c r="D144" s="41" t="str">
        <f>IF(ISERROR(VLOOKUP($A144,通讯录!$A:$M,5,FALSE)&amp;""),"",VLOOKUP($A144,通讯录!$A:$M,5,FALSE)&amp;"")</f>
        <v/>
      </c>
      <c r="E144" s="41" t="str">
        <f>IF(ISERROR(VLOOKUP($A144,通讯录!$A:$M,6,FALSE)&amp;""),"",VLOOKUP($A144,通讯录!$A:$M,6,FALSE)&amp;"")</f>
        <v/>
      </c>
      <c r="F144" s="41" t="str">
        <f>IF(ISERROR(VLOOKUP($A144,通讯录!$A:$M,4,FALSE)&amp;""),"",VLOOKUP($A144,通讯录!$A:$M,4,FALSE)&amp;"")</f>
        <v/>
      </c>
      <c r="G144" s="41" t="str">
        <f>IF(ISERROR(VLOOKUP($A144,通讯录!$A:$M,8,FALSE)&amp;""),"",VLOOKUP($A144,通讯录!$A:$M,8,FALSE)&amp;"")</f>
        <v/>
      </c>
      <c r="H144" s="41"/>
      <c r="I144" s="41"/>
      <c r="J144" s="41"/>
      <c r="L144" s="29" t="str">
        <f t="shared" si="2"/>
        <v/>
      </c>
    </row>
    <row r="145" spans="2:12">
      <c r="B145" s="41" t="str">
        <f>IF(ISERROR(VLOOKUP($A145,通讯录!$A:$M,3,FALSE)&amp;""),"",VLOOKUP($A145,通讯录!$A:$M,3,FALSE)&amp;"")</f>
        <v/>
      </c>
      <c r="C145" s="41" t="str">
        <f>IF(ISERROR(VLOOKUP($A145,通讯录!$A:$M,7,FALSE)&amp;""),"",VLOOKUP($A145,通讯录!$A:$M,7,FALSE)&amp;"")</f>
        <v/>
      </c>
      <c r="D145" s="41" t="str">
        <f>IF(ISERROR(VLOOKUP($A145,通讯录!$A:$M,5,FALSE)&amp;""),"",VLOOKUP($A145,通讯录!$A:$M,5,FALSE)&amp;"")</f>
        <v/>
      </c>
      <c r="E145" s="41" t="str">
        <f>IF(ISERROR(VLOOKUP($A145,通讯录!$A:$M,6,FALSE)&amp;""),"",VLOOKUP($A145,通讯录!$A:$M,6,FALSE)&amp;"")</f>
        <v/>
      </c>
      <c r="F145" s="41" t="str">
        <f>IF(ISERROR(VLOOKUP($A145,通讯录!$A:$M,4,FALSE)&amp;""),"",VLOOKUP($A145,通讯录!$A:$M,4,FALSE)&amp;"")</f>
        <v/>
      </c>
      <c r="G145" s="41" t="str">
        <f>IF(ISERROR(VLOOKUP($A145,通讯录!$A:$M,8,FALSE)&amp;""),"",VLOOKUP($A145,通讯录!$A:$M,8,FALSE)&amp;"")</f>
        <v/>
      </c>
      <c r="H145" s="41"/>
      <c r="I145" s="41"/>
      <c r="J145" s="41"/>
      <c r="L145" s="29" t="str">
        <f t="shared" si="2"/>
        <v/>
      </c>
    </row>
    <row r="146" spans="2:12">
      <c r="B146" s="41" t="str">
        <f>IF(ISERROR(VLOOKUP($A146,通讯录!$A:$M,3,FALSE)&amp;""),"",VLOOKUP($A146,通讯录!$A:$M,3,FALSE)&amp;"")</f>
        <v/>
      </c>
      <c r="C146" s="41" t="str">
        <f>IF(ISERROR(VLOOKUP($A146,通讯录!$A:$M,7,FALSE)&amp;""),"",VLOOKUP($A146,通讯录!$A:$M,7,FALSE)&amp;"")</f>
        <v/>
      </c>
      <c r="D146" s="41" t="str">
        <f>IF(ISERROR(VLOOKUP($A146,通讯录!$A:$M,5,FALSE)&amp;""),"",VLOOKUP($A146,通讯录!$A:$M,5,FALSE)&amp;"")</f>
        <v/>
      </c>
      <c r="E146" s="41" t="str">
        <f>IF(ISERROR(VLOOKUP($A146,通讯录!$A:$M,6,FALSE)&amp;""),"",VLOOKUP($A146,通讯录!$A:$M,6,FALSE)&amp;"")</f>
        <v/>
      </c>
      <c r="F146" s="41" t="str">
        <f>IF(ISERROR(VLOOKUP($A146,通讯录!$A:$M,4,FALSE)&amp;""),"",VLOOKUP($A146,通讯录!$A:$M,4,FALSE)&amp;"")</f>
        <v/>
      </c>
      <c r="G146" s="41" t="str">
        <f>IF(ISERROR(VLOOKUP($A146,通讯录!$A:$M,8,FALSE)&amp;""),"",VLOOKUP($A146,通讯录!$A:$M,8,FALSE)&amp;"")</f>
        <v/>
      </c>
      <c r="H146" s="41"/>
      <c r="I146" s="41"/>
      <c r="J146" s="41"/>
      <c r="L146" s="29" t="str">
        <f t="shared" si="2"/>
        <v/>
      </c>
    </row>
    <row r="147" spans="2:12">
      <c r="B147" s="41" t="str">
        <f>IF(ISERROR(VLOOKUP($A147,通讯录!$A:$M,3,FALSE)&amp;""),"",VLOOKUP($A147,通讯录!$A:$M,3,FALSE)&amp;"")</f>
        <v/>
      </c>
      <c r="C147" s="41" t="str">
        <f>IF(ISERROR(VLOOKUP($A147,通讯录!$A:$M,7,FALSE)&amp;""),"",VLOOKUP($A147,通讯录!$A:$M,7,FALSE)&amp;"")</f>
        <v/>
      </c>
      <c r="D147" s="41" t="str">
        <f>IF(ISERROR(VLOOKUP($A147,通讯录!$A:$M,5,FALSE)&amp;""),"",VLOOKUP($A147,通讯录!$A:$M,5,FALSE)&amp;"")</f>
        <v/>
      </c>
      <c r="E147" s="41" t="str">
        <f>IF(ISERROR(VLOOKUP($A147,通讯录!$A:$M,6,FALSE)&amp;""),"",VLOOKUP($A147,通讯录!$A:$M,6,FALSE)&amp;"")</f>
        <v/>
      </c>
      <c r="F147" s="41" t="str">
        <f>IF(ISERROR(VLOOKUP($A147,通讯录!$A:$M,4,FALSE)&amp;""),"",VLOOKUP($A147,通讯录!$A:$M,4,FALSE)&amp;"")</f>
        <v/>
      </c>
      <c r="G147" s="41" t="str">
        <f>IF(ISERROR(VLOOKUP($A147,通讯录!$A:$M,8,FALSE)&amp;""),"",VLOOKUP($A147,通讯录!$A:$M,8,FALSE)&amp;"")</f>
        <v/>
      </c>
      <c r="H147" s="41"/>
      <c r="I147" s="41"/>
      <c r="J147" s="41"/>
      <c r="L147" s="29" t="str">
        <f t="shared" si="2"/>
        <v/>
      </c>
    </row>
    <row r="148" spans="2:12">
      <c r="B148" s="41" t="str">
        <f>IF(ISERROR(VLOOKUP($A148,通讯录!$A:$M,3,FALSE)&amp;""),"",VLOOKUP($A148,通讯录!$A:$M,3,FALSE)&amp;"")</f>
        <v/>
      </c>
      <c r="C148" s="41" t="str">
        <f>IF(ISERROR(VLOOKUP($A148,通讯录!$A:$M,7,FALSE)&amp;""),"",VLOOKUP($A148,通讯录!$A:$M,7,FALSE)&amp;"")</f>
        <v/>
      </c>
      <c r="D148" s="41" t="str">
        <f>IF(ISERROR(VLOOKUP($A148,通讯录!$A:$M,5,FALSE)&amp;""),"",VLOOKUP($A148,通讯录!$A:$M,5,FALSE)&amp;"")</f>
        <v/>
      </c>
      <c r="E148" s="41" t="str">
        <f>IF(ISERROR(VLOOKUP($A148,通讯录!$A:$M,6,FALSE)&amp;""),"",VLOOKUP($A148,通讯录!$A:$M,6,FALSE)&amp;"")</f>
        <v/>
      </c>
      <c r="F148" s="41" t="str">
        <f>IF(ISERROR(VLOOKUP($A148,通讯录!$A:$M,4,FALSE)&amp;""),"",VLOOKUP($A148,通讯录!$A:$M,4,FALSE)&amp;"")</f>
        <v/>
      </c>
      <c r="G148" s="41" t="str">
        <f>IF(ISERROR(VLOOKUP($A148,通讯录!$A:$M,8,FALSE)&amp;""),"",VLOOKUP($A148,通讯录!$A:$M,8,FALSE)&amp;"")</f>
        <v/>
      </c>
      <c r="H148" s="41"/>
      <c r="I148" s="41"/>
      <c r="J148" s="41"/>
      <c r="L148" s="29" t="str">
        <f t="shared" si="2"/>
        <v/>
      </c>
    </row>
    <row r="149" spans="2:12">
      <c r="B149" s="41" t="str">
        <f>IF(ISERROR(VLOOKUP($A149,通讯录!$A:$M,3,FALSE)&amp;""),"",VLOOKUP($A149,通讯录!$A:$M,3,FALSE)&amp;"")</f>
        <v/>
      </c>
      <c r="C149" s="41" t="str">
        <f>IF(ISERROR(VLOOKUP($A149,通讯录!$A:$M,7,FALSE)&amp;""),"",VLOOKUP($A149,通讯录!$A:$M,7,FALSE)&amp;"")</f>
        <v/>
      </c>
      <c r="D149" s="41" t="str">
        <f>IF(ISERROR(VLOOKUP($A149,通讯录!$A:$M,5,FALSE)&amp;""),"",VLOOKUP($A149,通讯录!$A:$M,5,FALSE)&amp;"")</f>
        <v/>
      </c>
      <c r="E149" s="41" t="str">
        <f>IF(ISERROR(VLOOKUP($A149,通讯录!$A:$M,6,FALSE)&amp;""),"",VLOOKUP($A149,通讯录!$A:$M,6,FALSE)&amp;"")</f>
        <v/>
      </c>
      <c r="F149" s="41" t="str">
        <f>IF(ISERROR(VLOOKUP($A149,通讯录!$A:$M,4,FALSE)&amp;""),"",VLOOKUP($A149,通讯录!$A:$M,4,FALSE)&amp;"")</f>
        <v/>
      </c>
      <c r="G149" s="41" t="str">
        <f>IF(ISERROR(VLOOKUP($A149,通讯录!$A:$M,8,FALSE)&amp;""),"",VLOOKUP($A149,通讯录!$A:$M,8,FALSE)&amp;"")</f>
        <v/>
      </c>
      <c r="H149" s="41"/>
      <c r="I149" s="41"/>
      <c r="J149" s="41"/>
      <c r="L149" s="29" t="str">
        <f t="shared" si="2"/>
        <v/>
      </c>
    </row>
    <row r="150" spans="2:12">
      <c r="B150" s="41" t="str">
        <f>IF(ISERROR(VLOOKUP($A150,通讯录!$A:$M,3,FALSE)&amp;""),"",VLOOKUP($A150,通讯录!$A:$M,3,FALSE)&amp;"")</f>
        <v/>
      </c>
      <c r="C150" s="41" t="str">
        <f>IF(ISERROR(VLOOKUP($A150,通讯录!$A:$M,7,FALSE)&amp;""),"",VLOOKUP($A150,通讯录!$A:$M,7,FALSE)&amp;"")</f>
        <v/>
      </c>
      <c r="D150" s="41" t="str">
        <f>IF(ISERROR(VLOOKUP($A150,通讯录!$A:$M,5,FALSE)&amp;""),"",VLOOKUP($A150,通讯录!$A:$M,5,FALSE)&amp;"")</f>
        <v/>
      </c>
      <c r="E150" s="41" t="str">
        <f>IF(ISERROR(VLOOKUP($A150,通讯录!$A:$M,6,FALSE)&amp;""),"",VLOOKUP($A150,通讯录!$A:$M,6,FALSE)&amp;"")</f>
        <v/>
      </c>
      <c r="F150" s="41" t="str">
        <f>IF(ISERROR(VLOOKUP($A150,通讯录!$A:$M,4,FALSE)&amp;""),"",VLOOKUP($A150,通讯录!$A:$M,4,FALSE)&amp;"")</f>
        <v/>
      </c>
      <c r="G150" s="41" t="str">
        <f>IF(ISERROR(VLOOKUP($A150,通讯录!$A:$M,8,FALSE)&amp;""),"",VLOOKUP($A150,通讯录!$A:$M,8,FALSE)&amp;"")</f>
        <v/>
      </c>
      <c r="H150" s="41"/>
      <c r="I150" s="41"/>
      <c r="J150" s="41"/>
      <c r="L150" s="29" t="str">
        <f t="shared" si="2"/>
        <v/>
      </c>
    </row>
    <row r="151" spans="2:12">
      <c r="B151" s="41" t="str">
        <f>IF(ISERROR(VLOOKUP($A151,通讯录!$A:$M,3,FALSE)&amp;""),"",VLOOKUP($A151,通讯录!$A:$M,3,FALSE)&amp;"")</f>
        <v/>
      </c>
      <c r="C151" s="41" t="str">
        <f>IF(ISERROR(VLOOKUP($A151,通讯录!$A:$M,7,FALSE)&amp;""),"",VLOOKUP($A151,通讯录!$A:$M,7,FALSE)&amp;"")</f>
        <v/>
      </c>
      <c r="D151" s="41" t="str">
        <f>IF(ISERROR(VLOOKUP($A151,通讯录!$A:$M,5,FALSE)&amp;""),"",VLOOKUP($A151,通讯录!$A:$M,5,FALSE)&amp;"")</f>
        <v/>
      </c>
      <c r="E151" s="41" t="str">
        <f>IF(ISERROR(VLOOKUP($A151,通讯录!$A:$M,6,FALSE)&amp;""),"",VLOOKUP($A151,通讯录!$A:$M,6,FALSE)&amp;"")</f>
        <v/>
      </c>
      <c r="F151" s="41" t="str">
        <f>IF(ISERROR(VLOOKUP($A151,通讯录!$A:$M,4,FALSE)&amp;""),"",VLOOKUP($A151,通讯录!$A:$M,4,FALSE)&amp;"")</f>
        <v/>
      </c>
      <c r="G151" s="41" t="str">
        <f>IF(ISERROR(VLOOKUP($A151,通讯录!$A:$M,8,FALSE)&amp;""),"",VLOOKUP($A151,通讯录!$A:$M,8,FALSE)&amp;"")</f>
        <v/>
      </c>
      <c r="H151" s="41"/>
      <c r="I151" s="41"/>
      <c r="J151" s="41"/>
      <c r="L151" s="29" t="str">
        <f t="shared" si="2"/>
        <v/>
      </c>
    </row>
    <row r="152" spans="2:12">
      <c r="B152" s="41" t="str">
        <f>IF(ISERROR(VLOOKUP($A152,通讯录!$A:$M,3,FALSE)&amp;""),"",VLOOKUP($A152,通讯录!$A:$M,3,FALSE)&amp;"")</f>
        <v/>
      </c>
      <c r="C152" s="41" t="str">
        <f>IF(ISERROR(VLOOKUP($A152,通讯录!$A:$M,7,FALSE)&amp;""),"",VLOOKUP($A152,通讯录!$A:$M,7,FALSE)&amp;"")</f>
        <v/>
      </c>
      <c r="D152" s="41" t="str">
        <f>IF(ISERROR(VLOOKUP($A152,通讯录!$A:$M,5,FALSE)&amp;""),"",VLOOKUP($A152,通讯录!$A:$M,5,FALSE)&amp;"")</f>
        <v/>
      </c>
      <c r="E152" s="41" t="str">
        <f>IF(ISERROR(VLOOKUP($A152,通讯录!$A:$M,6,FALSE)&amp;""),"",VLOOKUP($A152,通讯录!$A:$M,6,FALSE)&amp;"")</f>
        <v/>
      </c>
      <c r="F152" s="41" t="str">
        <f>IF(ISERROR(VLOOKUP($A152,通讯录!$A:$M,4,FALSE)&amp;""),"",VLOOKUP($A152,通讯录!$A:$M,4,FALSE)&amp;"")</f>
        <v/>
      </c>
      <c r="G152" s="41" t="str">
        <f>IF(ISERROR(VLOOKUP($A152,通讯录!$A:$M,8,FALSE)&amp;""),"",VLOOKUP($A152,通讯录!$A:$M,8,FALSE)&amp;"")</f>
        <v/>
      </c>
      <c r="H152" s="41"/>
      <c r="I152" s="41"/>
      <c r="J152" s="41"/>
      <c r="L152" s="29" t="str">
        <f t="shared" si="2"/>
        <v/>
      </c>
    </row>
    <row r="153" spans="2:12">
      <c r="B153" s="41" t="str">
        <f>IF(ISERROR(VLOOKUP($A153,通讯录!$A:$M,3,FALSE)&amp;""),"",VLOOKUP($A153,通讯录!$A:$M,3,FALSE)&amp;"")</f>
        <v/>
      </c>
      <c r="C153" s="41" t="str">
        <f>IF(ISERROR(VLOOKUP($A153,通讯录!$A:$M,7,FALSE)&amp;""),"",VLOOKUP($A153,通讯录!$A:$M,7,FALSE)&amp;"")</f>
        <v/>
      </c>
      <c r="D153" s="41" t="str">
        <f>IF(ISERROR(VLOOKUP($A153,通讯录!$A:$M,5,FALSE)&amp;""),"",VLOOKUP($A153,通讯录!$A:$M,5,FALSE)&amp;"")</f>
        <v/>
      </c>
      <c r="E153" s="41" t="str">
        <f>IF(ISERROR(VLOOKUP($A153,通讯录!$A:$M,6,FALSE)&amp;""),"",VLOOKUP($A153,通讯录!$A:$M,6,FALSE)&amp;"")</f>
        <v/>
      </c>
      <c r="F153" s="41" t="str">
        <f>IF(ISERROR(VLOOKUP($A153,通讯录!$A:$M,4,FALSE)&amp;""),"",VLOOKUP($A153,通讯录!$A:$M,4,FALSE)&amp;"")</f>
        <v/>
      </c>
      <c r="G153" s="41" t="str">
        <f>IF(ISERROR(VLOOKUP($A153,通讯录!$A:$M,8,FALSE)&amp;""),"",VLOOKUP($A153,通讯录!$A:$M,8,FALSE)&amp;"")</f>
        <v/>
      </c>
      <c r="H153" s="41"/>
      <c r="I153" s="41"/>
      <c r="J153" s="41"/>
      <c r="L153" s="29" t="str">
        <f t="shared" si="2"/>
        <v/>
      </c>
    </row>
    <row r="154" spans="2:12">
      <c r="B154" s="41" t="str">
        <f>IF(ISERROR(VLOOKUP($A154,通讯录!$A:$M,3,FALSE)&amp;""),"",VLOOKUP($A154,通讯录!$A:$M,3,FALSE)&amp;"")</f>
        <v/>
      </c>
      <c r="C154" s="41" t="str">
        <f>IF(ISERROR(VLOOKUP($A154,通讯录!$A:$M,7,FALSE)&amp;""),"",VLOOKUP($A154,通讯录!$A:$M,7,FALSE)&amp;"")</f>
        <v/>
      </c>
      <c r="D154" s="41" t="str">
        <f>IF(ISERROR(VLOOKUP($A154,通讯录!$A:$M,5,FALSE)&amp;""),"",VLOOKUP($A154,通讯录!$A:$M,5,FALSE)&amp;"")</f>
        <v/>
      </c>
      <c r="E154" s="41" t="str">
        <f>IF(ISERROR(VLOOKUP($A154,通讯录!$A:$M,6,FALSE)&amp;""),"",VLOOKUP($A154,通讯录!$A:$M,6,FALSE)&amp;"")</f>
        <v/>
      </c>
      <c r="F154" s="41" t="str">
        <f>IF(ISERROR(VLOOKUP($A154,通讯录!$A:$M,4,FALSE)&amp;""),"",VLOOKUP($A154,通讯录!$A:$M,4,FALSE)&amp;"")</f>
        <v/>
      </c>
      <c r="G154" s="41" t="str">
        <f>IF(ISERROR(VLOOKUP($A154,通讯录!$A:$M,8,FALSE)&amp;""),"",VLOOKUP($A154,通讯录!$A:$M,8,FALSE)&amp;"")</f>
        <v/>
      </c>
      <c r="H154" s="41"/>
      <c r="I154" s="41"/>
      <c r="J154" s="41"/>
      <c r="L154" s="29" t="str">
        <f t="shared" si="2"/>
        <v/>
      </c>
    </row>
    <row r="155" spans="2:12">
      <c r="B155" s="41" t="str">
        <f>IF(ISERROR(VLOOKUP($A155,通讯录!$A:$M,3,FALSE)&amp;""),"",VLOOKUP($A155,通讯录!$A:$M,3,FALSE)&amp;"")</f>
        <v/>
      </c>
      <c r="C155" s="41" t="str">
        <f>IF(ISERROR(VLOOKUP($A155,通讯录!$A:$M,7,FALSE)&amp;""),"",VLOOKUP($A155,通讯录!$A:$M,7,FALSE)&amp;"")</f>
        <v/>
      </c>
      <c r="D155" s="41" t="str">
        <f>IF(ISERROR(VLOOKUP($A155,通讯录!$A:$M,5,FALSE)&amp;""),"",VLOOKUP($A155,通讯录!$A:$M,5,FALSE)&amp;"")</f>
        <v/>
      </c>
      <c r="E155" s="41" t="str">
        <f>IF(ISERROR(VLOOKUP($A155,通讯录!$A:$M,6,FALSE)&amp;""),"",VLOOKUP($A155,通讯录!$A:$M,6,FALSE)&amp;"")</f>
        <v/>
      </c>
      <c r="F155" s="41" t="str">
        <f>IF(ISERROR(VLOOKUP($A155,通讯录!$A:$M,4,FALSE)&amp;""),"",VLOOKUP($A155,通讯录!$A:$M,4,FALSE)&amp;"")</f>
        <v/>
      </c>
      <c r="G155" s="41" t="str">
        <f>IF(ISERROR(VLOOKUP($A155,通讯录!$A:$M,8,FALSE)&amp;""),"",VLOOKUP($A155,通讯录!$A:$M,8,FALSE)&amp;"")</f>
        <v/>
      </c>
      <c r="H155" s="41"/>
      <c r="I155" s="41"/>
      <c r="J155" s="41"/>
      <c r="L155" s="29" t="str">
        <f t="shared" si="2"/>
        <v/>
      </c>
    </row>
    <row r="156" spans="2:12">
      <c r="B156" s="41" t="str">
        <f>IF(ISERROR(VLOOKUP($A156,通讯录!$A:$M,3,FALSE)&amp;""),"",VLOOKUP($A156,通讯录!$A:$M,3,FALSE)&amp;"")</f>
        <v/>
      </c>
      <c r="C156" s="41" t="str">
        <f>IF(ISERROR(VLOOKUP($A156,通讯录!$A:$M,7,FALSE)&amp;""),"",VLOOKUP($A156,通讯录!$A:$M,7,FALSE)&amp;"")</f>
        <v/>
      </c>
      <c r="D156" s="41" t="str">
        <f>IF(ISERROR(VLOOKUP($A156,通讯录!$A:$M,5,FALSE)&amp;""),"",VLOOKUP($A156,通讯录!$A:$M,5,FALSE)&amp;"")</f>
        <v/>
      </c>
      <c r="E156" s="41" t="str">
        <f>IF(ISERROR(VLOOKUP($A156,通讯录!$A:$M,6,FALSE)&amp;""),"",VLOOKUP($A156,通讯录!$A:$M,6,FALSE)&amp;"")</f>
        <v/>
      </c>
      <c r="F156" s="41" t="str">
        <f>IF(ISERROR(VLOOKUP($A156,通讯录!$A:$M,4,FALSE)&amp;""),"",VLOOKUP($A156,通讯录!$A:$M,4,FALSE)&amp;"")</f>
        <v/>
      </c>
      <c r="G156" s="41" t="str">
        <f>IF(ISERROR(VLOOKUP($A156,通讯录!$A:$M,8,FALSE)&amp;""),"",VLOOKUP($A156,通讯录!$A:$M,8,FALSE)&amp;"")</f>
        <v/>
      </c>
      <c r="H156" s="41"/>
      <c r="I156" s="41"/>
      <c r="J156" s="41"/>
      <c r="L156" s="29" t="str">
        <f t="shared" si="2"/>
        <v/>
      </c>
    </row>
    <row r="157" spans="2:12">
      <c r="B157" s="41" t="str">
        <f>IF(ISERROR(VLOOKUP($A157,通讯录!$A:$M,3,FALSE)&amp;""),"",VLOOKUP($A157,通讯录!$A:$M,3,FALSE)&amp;"")</f>
        <v/>
      </c>
      <c r="C157" s="41" t="str">
        <f>IF(ISERROR(VLOOKUP($A157,通讯录!$A:$M,7,FALSE)&amp;""),"",VLOOKUP($A157,通讯录!$A:$M,7,FALSE)&amp;"")</f>
        <v/>
      </c>
      <c r="D157" s="41" t="str">
        <f>IF(ISERROR(VLOOKUP($A157,通讯录!$A:$M,5,FALSE)&amp;""),"",VLOOKUP($A157,通讯录!$A:$M,5,FALSE)&amp;"")</f>
        <v/>
      </c>
      <c r="E157" s="41" t="str">
        <f>IF(ISERROR(VLOOKUP($A157,通讯录!$A:$M,6,FALSE)&amp;""),"",VLOOKUP($A157,通讯录!$A:$M,6,FALSE)&amp;"")</f>
        <v/>
      </c>
      <c r="F157" s="41" t="str">
        <f>IF(ISERROR(VLOOKUP($A157,通讯录!$A:$M,4,FALSE)&amp;""),"",VLOOKUP($A157,通讯录!$A:$M,4,FALSE)&amp;"")</f>
        <v/>
      </c>
      <c r="G157" s="41" t="str">
        <f>IF(ISERROR(VLOOKUP($A157,通讯录!$A:$M,8,FALSE)&amp;""),"",VLOOKUP($A157,通讯录!$A:$M,8,FALSE)&amp;"")</f>
        <v/>
      </c>
      <c r="H157" s="41"/>
      <c r="I157" s="41"/>
      <c r="J157" s="41"/>
      <c r="L157" s="29" t="str">
        <f t="shared" si="2"/>
        <v/>
      </c>
    </row>
    <row r="158" spans="2:12">
      <c r="B158" s="41" t="str">
        <f>IF(ISERROR(VLOOKUP($A158,通讯录!$A:$M,3,FALSE)&amp;""),"",VLOOKUP($A158,通讯录!$A:$M,3,FALSE)&amp;"")</f>
        <v/>
      </c>
      <c r="C158" s="41" t="str">
        <f>IF(ISERROR(VLOOKUP($A158,通讯录!$A:$M,7,FALSE)&amp;""),"",VLOOKUP($A158,通讯录!$A:$M,7,FALSE)&amp;"")</f>
        <v/>
      </c>
      <c r="D158" s="41" t="str">
        <f>IF(ISERROR(VLOOKUP($A158,通讯录!$A:$M,5,FALSE)&amp;""),"",VLOOKUP($A158,通讯录!$A:$M,5,FALSE)&amp;"")</f>
        <v/>
      </c>
      <c r="E158" s="41" t="str">
        <f>IF(ISERROR(VLOOKUP($A158,通讯录!$A:$M,6,FALSE)&amp;""),"",VLOOKUP($A158,通讯录!$A:$M,6,FALSE)&amp;"")</f>
        <v/>
      </c>
      <c r="F158" s="41" t="str">
        <f>IF(ISERROR(VLOOKUP($A158,通讯录!$A:$M,4,FALSE)&amp;""),"",VLOOKUP($A158,通讯录!$A:$M,4,FALSE)&amp;"")</f>
        <v/>
      </c>
      <c r="G158" s="41" t="str">
        <f>IF(ISERROR(VLOOKUP($A158,通讯录!$A:$M,8,FALSE)&amp;""),"",VLOOKUP($A158,通讯录!$A:$M,8,FALSE)&amp;"")</f>
        <v/>
      </c>
      <c r="H158" s="41"/>
      <c r="I158" s="41"/>
      <c r="J158" s="41"/>
      <c r="L158" s="29" t="str">
        <f t="shared" si="2"/>
        <v/>
      </c>
    </row>
    <row r="159" spans="2:12">
      <c r="B159" s="41" t="str">
        <f>IF(ISERROR(VLOOKUP($A159,通讯录!$A:$M,3,FALSE)&amp;""),"",VLOOKUP($A159,通讯录!$A:$M,3,FALSE)&amp;"")</f>
        <v/>
      </c>
      <c r="C159" s="41" t="str">
        <f>IF(ISERROR(VLOOKUP($A159,通讯录!$A:$M,7,FALSE)&amp;""),"",VLOOKUP($A159,通讯录!$A:$M,7,FALSE)&amp;"")</f>
        <v/>
      </c>
      <c r="D159" s="41" t="str">
        <f>IF(ISERROR(VLOOKUP($A159,通讯录!$A:$M,5,FALSE)&amp;""),"",VLOOKUP($A159,通讯录!$A:$M,5,FALSE)&amp;"")</f>
        <v/>
      </c>
      <c r="E159" s="41" t="str">
        <f>IF(ISERROR(VLOOKUP($A159,通讯录!$A:$M,6,FALSE)&amp;""),"",VLOOKUP($A159,通讯录!$A:$M,6,FALSE)&amp;"")</f>
        <v/>
      </c>
      <c r="F159" s="41" t="str">
        <f>IF(ISERROR(VLOOKUP($A159,通讯录!$A:$M,4,FALSE)&amp;""),"",VLOOKUP($A159,通讯录!$A:$M,4,FALSE)&amp;"")</f>
        <v/>
      </c>
      <c r="G159" s="41" t="str">
        <f>IF(ISERROR(VLOOKUP($A159,通讯录!$A:$M,8,FALSE)&amp;""),"",VLOOKUP($A159,通讯录!$A:$M,8,FALSE)&amp;"")</f>
        <v/>
      </c>
      <c r="H159" s="41"/>
      <c r="I159" s="41"/>
      <c r="J159" s="41"/>
      <c r="L159" s="29" t="str">
        <f t="shared" si="2"/>
        <v/>
      </c>
    </row>
    <row r="160" spans="2:12">
      <c r="B160" s="41" t="str">
        <f>IF(ISERROR(VLOOKUP($A160,通讯录!$A:$M,3,FALSE)&amp;""),"",VLOOKUP($A160,通讯录!$A:$M,3,FALSE)&amp;"")</f>
        <v/>
      </c>
      <c r="C160" s="41" t="str">
        <f>IF(ISERROR(VLOOKUP($A160,通讯录!$A:$M,7,FALSE)&amp;""),"",VLOOKUP($A160,通讯录!$A:$M,7,FALSE)&amp;"")</f>
        <v/>
      </c>
      <c r="D160" s="41" t="str">
        <f>IF(ISERROR(VLOOKUP($A160,通讯录!$A:$M,5,FALSE)&amp;""),"",VLOOKUP($A160,通讯录!$A:$M,5,FALSE)&amp;"")</f>
        <v/>
      </c>
      <c r="E160" s="41" t="str">
        <f>IF(ISERROR(VLOOKUP($A160,通讯录!$A:$M,6,FALSE)&amp;""),"",VLOOKUP($A160,通讯录!$A:$M,6,FALSE)&amp;"")</f>
        <v/>
      </c>
      <c r="F160" s="41" t="str">
        <f>IF(ISERROR(VLOOKUP($A160,通讯录!$A:$M,4,FALSE)&amp;""),"",VLOOKUP($A160,通讯录!$A:$M,4,FALSE)&amp;"")</f>
        <v/>
      </c>
      <c r="G160" s="41" t="str">
        <f>IF(ISERROR(VLOOKUP($A160,通讯录!$A:$M,8,FALSE)&amp;""),"",VLOOKUP($A160,通讯录!$A:$M,8,FALSE)&amp;"")</f>
        <v/>
      </c>
      <c r="H160" s="41"/>
      <c r="I160" s="41"/>
      <c r="J160" s="41"/>
      <c r="L160" s="29" t="str">
        <f t="shared" si="2"/>
        <v/>
      </c>
    </row>
    <row r="161" spans="2:12">
      <c r="B161" s="41" t="str">
        <f>IF(ISERROR(VLOOKUP($A161,通讯录!$A:$M,3,FALSE)&amp;""),"",VLOOKUP($A161,通讯录!$A:$M,3,FALSE)&amp;"")</f>
        <v/>
      </c>
      <c r="C161" s="41" t="str">
        <f>IF(ISERROR(VLOOKUP($A161,通讯录!$A:$M,7,FALSE)&amp;""),"",VLOOKUP($A161,通讯录!$A:$M,7,FALSE)&amp;"")</f>
        <v/>
      </c>
      <c r="D161" s="41" t="str">
        <f>IF(ISERROR(VLOOKUP($A161,通讯录!$A:$M,5,FALSE)&amp;""),"",VLOOKUP($A161,通讯录!$A:$M,5,FALSE)&amp;"")</f>
        <v/>
      </c>
      <c r="E161" s="41" t="str">
        <f>IF(ISERROR(VLOOKUP($A161,通讯录!$A:$M,6,FALSE)&amp;""),"",VLOOKUP($A161,通讯录!$A:$M,6,FALSE)&amp;"")</f>
        <v/>
      </c>
      <c r="F161" s="41" t="str">
        <f>IF(ISERROR(VLOOKUP($A161,通讯录!$A:$M,4,FALSE)&amp;""),"",VLOOKUP($A161,通讯录!$A:$M,4,FALSE)&amp;"")</f>
        <v/>
      </c>
      <c r="G161" s="41" t="str">
        <f>IF(ISERROR(VLOOKUP($A161,通讯录!$A:$M,8,FALSE)&amp;""),"",VLOOKUP($A161,通讯录!$A:$M,8,FALSE)&amp;"")</f>
        <v/>
      </c>
      <c r="H161" s="41"/>
      <c r="I161" s="41"/>
      <c r="J161" s="41"/>
      <c r="L161" s="29" t="str">
        <f t="shared" si="2"/>
        <v/>
      </c>
    </row>
    <row r="162" spans="2:12">
      <c r="B162" s="41" t="str">
        <f>IF(ISERROR(VLOOKUP($A162,通讯录!$A:$M,3,FALSE)&amp;""),"",VLOOKUP($A162,通讯录!$A:$M,3,FALSE)&amp;"")</f>
        <v/>
      </c>
      <c r="C162" s="41" t="str">
        <f>IF(ISERROR(VLOOKUP($A162,通讯录!$A:$M,7,FALSE)&amp;""),"",VLOOKUP($A162,通讯录!$A:$M,7,FALSE)&amp;"")</f>
        <v/>
      </c>
      <c r="D162" s="41" t="str">
        <f>IF(ISERROR(VLOOKUP($A162,通讯录!$A:$M,5,FALSE)&amp;""),"",VLOOKUP($A162,通讯录!$A:$M,5,FALSE)&amp;"")</f>
        <v/>
      </c>
      <c r="E162" s="41" t="str">
        <f>IF(ISERROR(VLOOKUP($A162,通讯录!$A:$M,6,FALSE)&amp;""),"",VLOOKUP($A162,通讯录!$A:$M,6,FALSE)&amp;"")</f>
        <v/>
      </c>
      <c r="F162" s="41" t="str">
        <f>IF(ISERROR(VLOOKUP($A162,通讯录!$A:$M,4,FALSE)&amp;""),"",VLOOKUP($A162,通讯录!$A:$M,4,FALSE)&amp;"")</f>
        <v/>
      </c>
      <c r="G162" s="41" t="str">
        <f>IF(ISERROR(VLOOKUP($A162,通讯录!$A:$M,8,FALSE)&amp;""),"",VLOOKUP($A162,通讯录!$A:$M,8,FALSE)&amp;"")</f>
        <v/>
      </c>
      <c r="H162" s="41"/>
      <c r="I162" s="41"/>
      <c r="J162" s="41"/>
      <c r="L162" s="29" t="str">
        <f t="shared" ref="L162:L225" si="3">LEFT(A162,1)</f>
        <v/>
      </c>
    </row>
    <row r="163" spans="2:12">
      <c r="B163" s="41" t="str">
        <f>IF(ISERROR(VLOOKUP($A163,通讯录!$A:$M,3,FALSE)&amp;""),"",VLOOKUP($A163,通讯录!$A:$M,3,FALSE)&amp;"")</f>
        <v/>
      </c>
      <c r="C163" s="41" t="str">
        <f>IF(ISERROR(VLOOKUP($A163,通讯录!$A:$M,7,FALSE)&amp;""),"",VLOOKUP($A163,通讯录!$A:$M,7,FALSE)&amp;"")</f>
        <v/>
      </c>
      <c r="D163" s="41" t="str">
        <f>IF(ISERROR(VLOOKUP($A163,通讯录!$A:$M,5,FALSE)&amp;""),"",VLOOKUP($A163,通讯录!$A:$M,5,FALSE)&amp;"")</f>
        <v/>
      </c>
      <c r="E163" s="41" t="str">
        <f>IF(ISERROR(VLOOKUP($A163,通讯录!$A:$M,6,FALSE)&amp;""),"",VLOOKUP($A163,通讯录!$A:$M,6,FALSE)&amp;"")</f>
        <v/>
      </c>
      <c r="F163" s="41" t="str">
        <f>IF(ISERROR(VLOOKUP($A163,通讯录!$A:$M,4,FALSE)&amp;""),"",VLOOKUP($A163,通讯录!$A:$M,4,FALSE)&amp;"")</f>
        <v/>
      </c>
      <c r="G163" s="41" t="str">
        <f>IF(ISERROR(VLOOKUP($A163,通讯录!$A:$M,8,FALSE)&amp;""),"",VLOOKUP($A163,通讯录!$A:$M,8,FALSE)&amp;"")</f>
        <v/>
      </c>
      <c r="H163" s="41"/>
      <c r="I163" s="41"/>
      <c r="J163" s="41"/>
      <c r="L163" s="29" t="str">
        <f t="shared" si="3"/>
        <v/>
      </c>
    </row>
    <row r="164" spans="2:12">
      <c r="B164" s="41" t="str">
        <f>IF(ISERROR(VLOOKUP($A164,通讯录!$A:$M,3,FALSE)&amp;""),"",VLOOKUP($A164,通讯录!$A:$M,3,FALSE)&amp;"")</f>
        <v/>
      </c>
      <c r="C164" s="41" t="str">
        <f>IF(ISERROR(VLOOKUP($A164,通讯录!$A:$M,7,FALSE)&amp;""),"",VLOOKUP($A164,通讯录!$A:$M,7,FALSE)&amp;"")</f>
        <v/>
      </c>
      <c r="D164" s="41" t="str">
        <f>IF(ISERROR(VLOOKUP($A164,通讯录!$A:$M,5,FALSE)&amp;""),"",VLOOKUP($A164,通讯录!$A:$M,5,FALSE)&amp;"")</f>
        <v/>
      </c>
      <c r="E164" s="41" t="str">
        <f>IF(ISERROR(VLOOKUP($A164,通讯录!$A:$M,6,FALSE)&amp;""),"",VLOOKUP($A164,通讯录!$A:$M,6,FALSE)&amp;"")</f>
        <v/>
      </c>
      <c r="F164" s="41" t="str">
        <f>IF(ISERROR(VLOOKUP($A164,通讯录!$A:$M,4,FALSE)&amp;""),"",VLOOKUP($A164,通讯录!$A:$M,4,FALSE)&amp;"")</f>
        <v/>
      </c>
      <c r="G164" s="41" t="str">
        <f>IF(ISERROR(VLOOKUP($A164,通讯录!$A:$M,8,FALSE)&amp;""),"",VLOOKUP($A164,通讯录!$A:$M,8,FALSE)&amp;"")</f>
        <v/>
      </c>
      <c r="H164" s="41"/>
      <c r="I164" s="41"/>
      <c r="J164" s="41"/>
      <c r="L164" s="29" t="str">
        <f t="shared" si="3"/>
        <v/>
      </c>
    </row>
    <row r="165" spans="2:12">
      <c r="B165" s="41" t="str">
        <f>IF(ISERROR(VLOOKUP($A165,通讯录!$A:$M,3,FALSE)&amp;""),"",VLOOKUP($A165,通讯录!$A:$M,3,FALSE)&amp;"")</f>
        <v/>
      </c>
      <c r="C165" s="41" t="str">
        <f>IF(ISERROR(VLOOKUP($A165,通讯录!$A:$M,7,FALSE)&amp;""),"",VLOOKUP($A165,通讯录!$A:$M,7,FALSE)&amp;"")</f>
        <v/>
      </c>
      <c r="D165" s="41" t="str">
        <f>IF(ISERROR(VLOOKUP($A165,通讯录!$A:$M,5,FALSE)&amp;""),"",VLOOKUP($A165,通讯录!$A:$M,5,FALSE)&amp;"")</f>
        <v/>
      </c>
      <c r="E165" s="41" t="str">
        <f>IF(ISERROR(VLOOKUP($A165,通讯录!$A:$M,6,FALSE)&amp;""),"",VLOOKUP($A165,通讯录!$A:$M,6,FALSE)&amp;"")</f>
        <v/>
      </c>
      <c r="F165" s="41" t="str">
        <f>IF(ISERROR(VLOOKUP($A165,通讯录!$A:$M,4,FALSE)&amp;""),"",VLOOKUP($A165,通讯录!$A:$M,4,FALSE)&amp;"")</f>
        <v/>
      </c>
      <c r="G165" s="41" t="str">
        <f>IF(ISERROR(VLOOKUP($A165,通讯录!$A:$M,8,FALSE)&amp;""),"",VLOOKUP($A165,通讯录!$A:$M,8,FALSE)&amp;"")</f>
        <v/>
      </c>
      <c r="H165" s="41"/>
      <c r="I165" s="41"/>
      <c r="J165" s="41"/>
      <c r="L165" s="29" t="str">
        <f t="shared" si="3"/>
        <v/>
      </c>
    </row>
    <row r="166" spans="2:12">
      <c r="B166" s="41" t="str">
        <f>IF(ISERROR(VLOOKUP($A166,通讯录!$A:$M,3,FALSE)&amp;""),"",VLOOKUP($A166,通讯录!$A:$M,3,FALSE)&amp;"")</f>
        <v/>
      </c>
      <c r="C166" s="41" t="str">
        <f>IF(ISERROR(VLOOKUP($A166,通讯录!$A:$M,7,FALSE)&amp;""),"",VLOOKUP($A166,通讯录!$A:$M,7,FALSE)&amp;"")</f>
        <v/>
      </c>
      <c r="D166" s="41" t="str">
        <f>IF(ISERROR(VLOOKUP($A166,通讯录!$A:$M,5,FALSE)&amp;""),"",VLOOKUP($A166,通讯录!$A:$M,5,FALSE)&amp;"")</f>
        <v/>
      </c>
      <c r="E166" s="41" t="str">
        <f>IF(ISERROR(VLOOKUP($A166,通讯录!$A:$M,6,FALSE)&amp;""),"",VLOOKUP($A166,通讯录!$A:$M,6,FALSE)&amp;"")</f>
        <v/>
      </c>
      <c r="F166" s="41" t="str">
        <f>IF(ISERROR(VLOOKUP($A166,通讯录!$A:$M,4,FALSE)&amp;""),"",VLOOKUP($A166,通讯录!$A:$M,4,FALSE)&amp;"")</f>
        <v/>
      </c>
      <c r="G166" s="41" t="str">
        <f>IF(ISERROR(VLOOKUP($A166,通讯录!$A:$M,8,FALSE)&amp;""),"",VLOOKUP($A166,通讯录!$A:$M,8,FALSE)&amp;"")</f>
        <v/>
      </c>
      <c r="H166" s="41"/>
      <c r="I166" s="41"/>
      <c r="J166" s="41"/>
      <c r="L166" s="29" t="str">
        <f t="shared" si="3"/>
        <v/>
      </c>
    </row>
    <row r="167" spans="2:12">
      <c r="B167" s="41" t="str">
        <f>IF(ISERROR(VLOOKUP($A167,通讯录!$A:$M,3,FALSE)&amp;""),"",VLOOKUP($A167,通讯录!$A:$M,3,FALSE)&amp;"")</f>
        <v/>
      </c>
      <c r="C167" s="41" t="str">
        <f>IF(ISERROR(VLOOKUP($A167,通讯录!$A:$M,7,FALSE)&amp;""),"",VLOOKUP($A167,通讯录!$A:$M,7,FALSE)&amp;"")</f>
        <v/>
      </c>
      <c r="D167" s="41" t="str">
        <f>IF(ISERROR(VLOOKUP($A167,通讯录!$A:$M,5,FALSE)&amp;""),"",VLOOKUP($A167,通讯录!$A:$M,5,FALSE)&amp;"")</f>
        <v/>
      </c>
      <c r="E167" s="41" t="str">
        <f>IF(ISERROR(VLOOKUP($A167,通讯录!$A:$M,6,FALSE)&amp;""),"",VLOOKUP($A167,通讯录!$A:$M,6,FALSE)&amp;"")</f>
        <v/>
      </c>
      <c r="F167" s="41" t="str">
        <f>IF(ISERROR(VLOOKUP($A167,通讯录!$A:$M,4,FALSE)&amp;""),"",VLOOKUP($A167,通讯录!$A:$M,4,FALSE)&amp;"")</f>
        <v/>
      </c>
      <c r="G167" s="41" t="str">
        <f>IF(ISERROR(VLOOKUP($A167,通讯录!$A:$M,8,FALSE)&amp;""),"",VLOOKUP($A167,通讯录!$A:$M,8,FALSE)&amp;"")</f>
        <v/>
      </c>
      <c r="H167" s="41"/>
      <c r="I167" s="41"/>
      <c r="J167" s="41"/>
      <c r="L167" s="29" t="str">
        <f t="shared" si="3"/>
        <v/>
      </c>
    </row>
    <row r="168" spans="2:12">
      <c r="B168" s="41" t="str">
        <f>IF(ISERROR(VLOOKUP($A168,通讯录!$A:$M,3,FALSE)&amp;""),"",VLOOKUP($A168,通讯录!$A:$M,3,FALSE)&amp;"")</f>
        <v/>
      </c>
      <c r="C168" s="41" t="str">
        <f>IF(ISERROR(VLOOKUP($A168,通讯录!$A:$M,7,FALSE)&amp;""),"",VLOOKUP($A168,通讯录!$A:$M,7,FALSE)&amp;"")</f>
        <v/>
      </c>
      <c r="D168" s="41" t="str">
        <f>IF(ISERROR(VLOOKUP($A168,通讯录!$A:$M,5,FALSE)&amp;""),"",VLOOKUP($A168,通讯录!$A:$M,5,FALSE)&amp;"")</f>
        <v/>
      </c>
      <c r="E168" s="41" t="str">
        <f>IF(ISERROR(VLOOKUP($A168,通讯录!$A:$M,6,FALSE)&amp;""),"",VLOOKUP($A168,通讯录!$A:$M,6,FALSE)&amp;"")</f>
        <v/>
      </c>
      <c r="F168" s="41" t="str">
        <f>IF(ISERROR(VLOOKUP($A168,通讯录!$A:$M,4,FALSE)&amp;""),"",VLOOKUP($A168,通讯录!$A:$M,4,FALSE)&amp;"")</f>
        <v/>
      </c>
      <c r="G168" s="41" t="str">
        <f>IF(ISERROR(VLOOKUP($A168,通讯录!$A:$M,8,FALSE)&amp;""),"",VLOOKUP($A168,通讯录!$A:$M,8,FALSE)&amp;"")</f>
        <v/>
      </c>
      <c r="H168" s="41"/>
      <c r="I168" s="41"/>
      <c r="J168" s="41"/>
      <c r="L168" s="29" t="str">
        <f t="shared" si="3"/>
        <v/>
      </c>
    </row>
    <row r="169" spans="2:12">
      <c r="B169" s="41" t="str">
        <f>IF(ISERROR(VLOOKUP($A169,通讯录!$A:$M,3,FALSE)&amp;""),"",VLOOKUP($A169,通讯录!$A:$M,3,FALSE)&amp;"")</f>
        <v/>
      </c>
      <c r="C169" s="41" t="str">
        <f>IF(ISERROR(VLOOKUP($A169,通讯录!$A:$M,7,FALSE)&amp;""),"",VLOOKUP($A169,通讯录!$A:$M,7,FALSE)&amp;"")</f>
        <v/>
      </c>
      <c r="D169" s="41" t="str">
        <f>IF(ISERROR(VLOOKUP($A169,通讯录!$A:$M,5,FALSE)&amp;""),"",VLOOKUP($A169,通讯录!$A:$M,5,FALSE)&amp;"")</f>
        <v/>
      </c>
      <c r="E169" s="41" t="str">
        <f>IF(ISERROR(VLOOKUP($A169,通讯录!$A:$M,6,FALSE)&amp;""),"",VLOOKUP($A169,通讯录!$A:$M,6,FALSE)&amp;"")</f>
        <v/>
      </c>
      <c r="F169" s="41" t="str">
        <f>IF(ISERROR(VLOOKUP($A169,通讯录!$A:$M,4,FALSE)&amp;""),"",VLOOKUP($A169,通讯录!$A:$M,4,FALSE)&amp;"")</f>
        <v/>
      </c>
      <c r="G169" s="41" t="str">
        <f>IF(ISERROR(VLOOKUP($A169,通讯录!$A:$M,8,FALSE)&amp;""),"",VLOOKUP($A169,通讯录!$A:$M,8,FALSE)&amp;"")</f>
        <v/>
      </c>
      <c r="H169" s="41"/>
      <c r="I169" s="41"/>
      <c r="J169" s="41"/>
      <c r="L169" s="29" t="str">
        <f t="shared" si="3"/>
        <v/>
      </c>
    </row>
    <row r="170" spans="2:12">
      <c r="B170" s="41" t="str">
        <f>IF(ISERROR(VLOOKUP($A170,通讯录!$A:$M,3,FALSE)&amp;""),"",VLOOKUP($A170,通讯录!$A:$M,3,FALSE)&amp;"")</f>
        <v/>
      </c>
      <c r="C170" s="41" t="str">
        <f>IF(ISERROR(VLOOKUP($A170,通讯录!$A:$M,7,FALSE)&amp;""),"",VLOOKUP($A170,通讯录!$A:$M,7,FALSE)&amp;"")</f>
        <v/>
      </c>
      <c r="D170" s="41" t="str">
        <f>IF(ISERROR(VLOOKUP($A170,通讯录!$A:$M,5,FALSE)&amp;""),"",VLOOKUP($A170,通讯录!$A:$M,5,FALSE)&amp;"")</f>
        <v/>
      </c>
      <c r="E170" s="41" t="str">
        <f>IF(ISERROR(VLOOKUP($A170,通讯录!$A:$M,6,FALSE)&amp;""),"",VLOOKUP($A170,通讯录!$A:$M,6,FALSE)&amp;"")</f>
        <v/>
      </c>
      <c r="F170" s="41" t="str">
        <f>IF(ISERROR(VLOOKUP($A170,通讯录!$A:$M,4,FALSE)&amp;""),"",VLOOKUP($A170,通讯录!$A:$M,4,FALSE)&amp;"")</f>
        <v/>
      </c>
      <c r="G170" s="41" t="str">
        <f>IF(ISERROR(VLOOKUP($A170,通讯录!$A:$M,8,FALSE)&amp;""),"",VLOOKUP($A170,通讯录!$A:$M,8,FALSE)&amp;"")</f>
        <v/>
      </c>
      <c r="H170" s="41"/>
      <c r="I170" s="41"/>
      <c r="J170" s="41"/>
      <c r="L170" s="29" t="str">
        <f t="shared" si="3"/>
        <v/>
      </c>
    </row>
    <row r="171" spans="2:12">
      <c r="B171" s="41" t="str">
        <f>IF(ISERROR(VLOOKUP($A171,通讯录!$A:$M,3,FALSE)&amp;""),"",VLOOKUP($A171,通讯录!$A:$M,3,FALSE)&amp;"")</f>
        <v/>
      </c>
      <c r="C171" s="41" t="str">
        <f>IF(ISERROR(VLOOKUP($A171,通讯录!$A:$M,7,FALSE)&amp;""),"",VLOOKUP($A171,通讯录!$A:$M,7,FALSE)&amp;"")</f>
        <v/>
      </c>
      <c r="D171" s="41" t="str">
        <f>IF(ISERROR(VLOOKUP($A171,通讯录!$A:$M,5,FALSE)&amp;""),"",VLOOKUP($A171,通讯录!$A:$M,5,FALSE)&amp;"")</f>
        <v/>
      </c>
      <c r="E171" s="41" t="str">
        <f>IF(ISERROR(VLOOKUP($A171,通讯录!$A:$M,6,FALSE)&amp;""),"",VLOOKUP($A171,通讯录!$A:$M,6,FALSE)&amp;"")</f>
        <v/>
      </c>
      <c r="F171" s="41" t="str">
        <f>IF(ISERROR(VLOOKUP($A171,通讯录!$A:$M,4,FALSE)&amp;""),"",VLOOKUP($A171,通讯录!$A:$M,4,FALSE)&amp;"")</f>
        <v/>
      </c>
      <c r="G171" s="41" t="str">
        <f>IF(ISERROR(VLOOKUP($A171,通讯录!$A:$M,8,FALSE)&amp;""),"",VLOOKUP($A171,通讯录!$A:$M,8,FALSE)&amp;"")</f>
        <v/>
      </c>
      <c r="H171" s="41"/>
      <c r="I171" s="41"/>
      <c r="J171" s="41"/>
      <c r="L171" s="29" t="str">
        <f t="shared" si="3"/>
        <v/>
      </c>
    </row>
    <row r="172" spans="2:12">
      <c r="B172" s="41" t="str">
        <f>IF(ISERROR(VLOOKUP($A172,通讯录!$A:$M,3,FALSE)&amp;""),"",VLOOKUP($A172,通讯录!$A:$M,3,FALSE)&amp;"")</f>
        <v/>
      </c>
      <c r="C172" s="41" t="str">
        <f>IF(ISERROR(VLOOKUP($A172,通讯录!$A:$M,7,FALSE)&amp;""),"",VLOOKUP($A172,通讯录!$A:$M,7,FALSE)&amp;"")</f>
        <v/>
      </c>
      <c r="D172" s="41" t="str">
        <f>IF(ISERROR(VLOOKUP($A172,通讯录!$A:$M,5,FALSE)&amp;""),"",VLOOKUP($A172,通讯录!$A:$M,5,FALSE)&amp;"")</f>
        <v/>
      </c>
      <c r="E172" s="41" t="str">
        <f>IF(ISERROR(VLOOKUP($A172,通讯录!$A:$M,6,FALSE)&amp;""),"",VLOOKUP($A172,通讯录!$A:$M,6,FALSE)&amp;"")</f>
        <v/>
      </c>
      <c r="F172" s="41" t="str">
        <f>IF(ISERROR(VLOOKUP($A172,通讯录!$A:$M,4,FALSE)&amp;""),"",VLOOKUP($A172,通讯录!$A:$M,4,FALSE)&amp;"")</f>
        <v/>
      </c>
      <c r="G172" s="41" t="str">
        <f>IF(ISERROR(VLOOKUP($A172,通讯录!$A:$M,8,FALSE)&amp;""),"",VLOOKUP($A172,通讯录!$A:$M,8,FALSE)&amp;"")</f>
        <v/>
      </c>
      <c r="H172" s="41"/>
      <c r="I172" s="41"/>
      <c r="J172" s="41"/>
      <c r="L172" s="29" t="str">
        <f t="shared" si="3"/>
        <v/>
      </c>
    </row>
    <row r="173" spans="2:12">
      <c r="B173" s="41" t="str">
        <f>IF(ISERROR(VLOOKUP($A173,通讯录!$A:$M,3,FALSE)&amp;""),"",VLOOKUP($A173,通讯录!$A:$M,3,FALSE)&amp;"")</f>
        <v/>
      </c>
      <c r="C173" s="41" t="str">
        <f>IF(ISERROR(VLOOKUP($A173,通讯录!$A:$M,7,FALSE)&amp;""),"",VLOOKUP($A173,通讯录!$A:$M,7,FALSE)&amp;"")</f>
        <v/>
      </c>
      <c r="D173" s="41" t="str">
        <f>IF(ISERROR(VLOOKUP($A173,通讯录!$A:$M,5,FALSE)&amp;""),"",VLOOKUP($A173,通讯录!$A:$M,5,FALSE)&amp;"")</f>
        <v/>
      </c>
      <c r="E173" s="41" t="str">
        <f>IF(ISERROR(VLOOKUP($A173,通讯录!$A:$M,6,FALSE)&amp;""),"",VLOOKUP($A173,通讯录!$A:$M,6,FALSE)&amp;"")</f>
        <v/>
      </c>
      <c r="F173" s="41" t="str">
        <f>IF(ISERROR(VLOOKUP($A173,通讯录!$A:$M,4,FALSE)&amp;""),"",VLOOKUP($A173,通讯录!$A:$M,4,FALSE)&amp;"")</f>
        <v/>
      </c>
      <c r="G173" s="41" t="str">
        <f>IF(ISERROR(VLOOKUP($A173,通讯录!$A:$M,8,FALSE)&amp;""),"",VLOOKUP($A173,通讯录!$A:$M,8,FALSE)&amp;"")</f>
        <v/>
      </c>
      <c r="H173" s="41"/>
      <c r="I173" s="41"/>
      <c r="J173" s="41"/>
      <c r="L173" s="29" t="str">
        <f t="shared" si="3"/>
        <v/>
      </c>
    </row>
    <row r="174" spans="2:12">
      <c r="B174" s="41" t="str">
        <f>IF(ISERROR(VLOOKUP($A174,通讯录!$A:$M,3,FALSE)&amp;""),"",VLOOKUP($A174,通讯录!$A:$M,3,FALSE)&amp;"")</f>
        <v/>
      </c>
      <c r="C174" s="41" t="str">
        <f>IF(ISERROR(VLOOKUP($A174,通讯录!$A:$M,7,FALSE)&amp;""),"",VLOOKUP($A174,通讯录!$A:$M,7,FALSE)&amp;"")</f>
        <v/>
      </c>
      <c r="D174" s="41" t="str">
        <f>IF(ISERROR(VLOOKUP($A174,通讯录!$A:$M,5,FALSE)&amp;""),"",VLOOKUP($A174,通讯录!$A:$M,5,FALSE)&amp;"")</f>
        <v/>
      </c>
      <c r="E174" s="41" t="str">
        <f>IF(ISERROR(VLOOKUP($A174,通讯录!$A:$M,6,FALSE)&amp;""),"",VLOOKUP($A174,通讯录!$A:$M,6,FALSE)&amp;"")</f>
        <v/>
      </c>
      <c r="F174" s="41" t="str">
        <f>IF(ISERROR(VLOOKUP($A174,通讯录!$A:$M,4,FALSE)&amp;""),"",VLOOKUP($A174,通讯录!$A:$M,4,FALSE)&amp;"")</f>
        <v/>
      </c>
      <c r="G174" s="41" t="str">
        <f>IF(ISERROR(VLOOKUP($A174,通讯录!$A:$M,8,FALSE)&amp;""),"",VLOOKUP($A174,通讯录!$A:$M,8,FALSE)&amp;"")</f>
        <v/>
      </c>
      <c r="H174" s="41"/>
      <c r="I174" s="41"/>
      <c r="J174" s="41"/>
      <c r="L174" s="29" t="str">
        <f t="shared" si="3"/>
        <v/>
      </c>
    </row>
    <row r="175" spans="2:12">
      <c r="B175" s="41" t="str">
        <f>IF(ISERROR(VLOOKUP($A175,通讯录!$A:$M,3,FALSE)&amp;""),"",VLOOKUP($A175,通讯录!$A:$M,3,FALSE)&amp;"")</f>
        <v/>
      </c>
      <c r="C175" s="41" t="str">
        <f>IF(ISERROR(VLOOKUP($A175,通讯录!$A:$M,7,FALSE)&amp;""),"",VLOOKUP($A175,通讯录!$A:$M,7,FALSE)&amp;"")</f>
        <v/>
      </c>
      <c r="D175" s="41" t="str">
        <f>IF(ISERROR(VLOOKUP($A175,通讯录!$A:$M,5,FALSE)&amp;""),"",VLOOKUP($A175,通讯录!$A:$M,5,FALSE)&amp;"")</f>
        <v/>
      </c>
      <c r="E175" s="41" t="str">
        <f>IF(ISERROR(VLOOKUP($A175,通讯录!$A:$M,6,FALSE)&amp;""),"",VLOOKUP($A175,通讯录!$A:$M,6,FALSE)&amp;"")</f>
        <v/>
      </c>
      <c r="F175" s="41" t="str">
        <f>IF(ISERROR(VLOOKUP($A175,通讯录!$A:$M,4,FALSE)&amp;""),"",VLOOKUP($A175,通讯录!$A:$M,4,FALSE)&amp;"")</f>
        <v/>
      </c>
      <c r="G175" s="41" t="str">
        <f>IF(ISERROR(VLOOKUP($A175,通讯录!$A:$M,8,FALSE)&amp;""),"",VLOOKUP($A175,通讯录!$A:$M,8,FALSE)&amp;"")</f>
        <v/>
      </c>
      <c r="H175" s="41"/>
      <c r="I175" s="41"/>
      <c r="J175" s="41"/>
      <c r="L175" s="29" t="str">
        <f t="shared" si="3"/>
        <v/>
      </c>
    </row>
    <row r="176" spans="2:12">
      <c r="B176" s="41" t="str">
        <f>IF(ISERROR(VLOOKUP($A176,通讯录!$A:$M,3,FALSE)&amp;""),"",VLOOKUP($A176,通讯录!$A:$M,3,FALSE)&amp;"")</f>
        <v/>
      </c>
      <c r="C176" s="41" t="str">
        <f>IF(ISERROR(VLOOKUP($A176,通讯录!$A:$M,7,FALSE)&amp;""),"",VLOOKUP($A176,通讯录!$A:$M,7,FALSE)&amp;"")</f>
        <v/>
      </c>
      <c r="D176" s="41" t="str">
        <f>IF(ISERROR(VLOOKUP($A176,通讯录!$A:$M,5,FALSE)&amp;""),"",VLOOKUP($A176,通讯录!$A:$M,5,FALSE)&amp;"")</f>
        <v/>
      </c>
      <c r="E176" s="41" t="str">
        <f>IF(ISERROR(VLOOKUP($A176,通讯录!$A:$M,6,FALSE)&amp;""),"",VLOOKUP($A176,通讯录!$A:$M,6,FALSE)&amp;"")</f>
        <v/>
      </c>
      <c r="F176" s="41" t="str">
        <f>IF(ISERROR(VLOOKUP($A176,通讯录!$A:$M,4,FALSE)&amp;""),"",VLOOKUP($A176,通讯录!$A:$M,4,FALSE)&amp;"")</f>
        <v/>
      </c>
      <c r="G176" s="41" t="str">
        <f>IF(ISERROR(VLOOKUP($A176,通讯录!$A:$M,8,FALSE)&amp;""),"",VLOOKUP($A176,通讯录!$A:$M,8,FALSE)&amp;"")</f>
        <v/>
      </c>
      <c r="H176" s="41"/>
      <c r="I176" s="41"/>
      <c r="J176" s="41"/>
      <c r="L176" s="29" t="str">
        <f t="shared" si="3"/>
        <v/>
      </c>
    </row>
    <row r="177" spans="2:12">
      <c r="B177" s="41" t="str">
        <f>IF(ISERROR(VLOOKUP($A177,通讯录!$A:$M,3,FALSE)&amp;""),"",VLOOKUP($A177,通讯录!$A:$M,3,FALSE)&amp;"")</f>
        <v/>
      </c>
      <c r="C177" s="41" t="str">
        <f>IF(ISERROR(VLOOKUP($A177,通讯录!$A:$M,7,FALSE)&amp;""),"",VLOOKUP($A177,通讯录!$A:$M,7,FALSE)&amp;"")</f>
        <v/>
      </c>
      <c r="D177" s="41" t="str">
        <f>IF(ISERROR(VLOOKUP($A177,通讯录!$A:$M,5,FALSE)&amp;""),"",VLOOKUP($A177,通讯录!$A:$M,5,FALSE)&amp;"")</f>
        <v/>
      </c>
      <c r="E177" s="41" t="str">
        <f>IF(ISERROR(VLOOKUP($A177,通讯录!$A:$M,6,FALSE)&amp;""),"",VLOOKUP($A177,通讯录!$A:$M,6,FALSE)&amp;"")</f>
        <v/>
      </c>
      <c r="F177" s="41" t="str">
        <f>IF(ISERROR(VLOOKUP($A177,通讯录!$A:$M,4,FALSE)&amp;""),"",VLOOKUP($A177,通讯录!$A:$M,4,FALSE)&amp;"")</f>
        <v/>
      </c>
      <c r="G177" s="41" t="str">
        <f>IF(ISERROR(VLOOKUP($A177,通讯录!$A:$M,8,FALSE)&amp;""),"",VLOOKUP($A177,通讯录!$A:$M,8,FALSE)&amp;"")</f>
        <v/>
      </c>
      <c r="H177" s="41"/>
      <c r="I177" s="41"/>
      <c r="J177" s="41"/>
      <c r="L177" s="29" t="str">
        <f t="shared" si="3"/>
        <v/>
      </c>
    </row>
    <row r="178" spans="2:12">
      <c r="B178" s="41" t="str">
        <f>IF(ISERROR(VLOOKUP($A178,通讯录!$A:$M,3,FALSE)&amp;""),"",VLOOKUP($A178,通讯录!$A:$M,3,FALSE)&amp;"")</f>
        <v/>
      </c>
      <c r="C178" s="41" t="str">
        <f>IF(ISERROR(VLOOKUP($A178,通讯录!$A:$M,7,FALSE)&amp;""),"",VLOOKUP($A178,通讯录!$A:$M,7,FALSE)&amp;"")</f>
        <v/>
      </c>
      <c r="D178" s="41" t="str">
        <f>IF(ISERROR(VLOOKUP($A178,通讯录!$A:$M,5,FALSE)&amp;""),"",VLOOKUP($A178,通讯录!$A:$M,5,FALSE)&amp;"")</f>
        <v/>
      </c>
      <c r="E178" s="41" t="str">
        <f>IF(ISERROR(VLOOKUP($A178,通讯录!$A:$M,6,FALSE)&amp;""),"",VLOOKUP($A178,通讯录!$A:$M,6,FALSE)&amp;"")</f>
        <v/>
      </c>
      <c r="F178" s="41" t="str">
        <f>IF(ISERROR(VLOOKUP($A178,通讯录!$A:$M,4,FALSE)&amp;""),"",VLOOKUP($A178,通讯录!$A:$M,4,FALSE)&amp;"")</f>
        <v/>
      </c>
      <c r="G178" s="41" t="str">
        <f>IF(ISERROR(VLOOKUP($A178,通讯录!$A:$M,8,FALSE)&amp;""),"",VLOOKUP($A178,通讯录!$A:$M,8,FALSE)&amp;"")</f>
        <v/>
      </c>
      <c r="H178" s="41"/>
      <c r="I178" s="41"/>
      <c r="J178" s="41"/>
      <c r="L178" s="29" t="str">
        <f t="shared" si="3"/>
        <v/>
      </c>
    </row>
    <row r="179" spans="2:12">
      <c r="B179" s="41" t="str">
        <f>IF(ISERROR(VLOOKUP($A179,通讯录!$A:$M,3,FALSE)&amp;""),"",VLOOKUP($A179,通讯录!$A:$M,3,FALSE)&amp;"")</f>
        <v/>
      </c>
      <c r="C179" s="41" t="str">
        <f>IF(ISERROR(VLOOKUP($A179,通讯录!$A:$M,7,FALSE)&amp;""),"",VLOOKUP($A179,通讯录!$A:$M,7,FALSE)&amp;"")</f>
        <v/>
      </c>
      <c r="D179" s="41" t="str">
        <f>IF(ISERROR(VLOOKUP($A179,通讯录!$A:$M,5,FALSE)&amp;""),"",VLOOKUP($A179,通讯录!$A:$M,5,FALSE)&amp;"")</f>
        <v/>
      </c>
      <c r="E179" s="41" t="str">
        <f>IF(ISERROR(VLOOKUP($A179,通讯录!$A:$M,6,FALSE)&amp;""),"",VLOOKUP($A179,通讯录!$A:$M,6,FALSE)&amp;"")</f>
        <v/>
      </c>
      <c r="F179" s="41" t="str">
        <f>IF(ISERROR(VLOOKUP($A179,通讯录!$A:$M,4,FALSE)&amp;""),"",VLOOKUP($A179,通讯录!$A:$M,4,FALSE)&amp;"")</f>
        <v/>
      </c>
      <c r="G179" s="41" t="str">
        <f>IF(ISERROR(VLOOKUP($A179,通讯录!$A:$M,8,FALSE)&amp;""),"",VLOOKUP($A179,通讯录!$A:$M,8,FALSE)&amp;"")</f>
        <v/>
      </c>
      <c r="H179" s="41"/>
      <c r="I179" s="41"/>
      <c r="J179" s="41"/>
      <c r="L179" s="29" t="str">
        <f t="shared" si="3"/>
        <v/>
      </c>
    </row>
    <row r="180" spans="2:12">
      <c r="B180" s="41" t="str">
        <f>IF(ISERROR(VLOOKUP($A180,通讯录!$A:$M,3,FALSE)&amp;""),"",VLOOKUP($A180,通讯录!$A:$M,3,FALSE)&amp;"")</f>
        <v/>
      </c>
      <c r="C180" s="41" t="str">
        <f>IF(ISERROR(VLOOKUP($A180,通讯录!$A:$M,7,FALSE)&amp;""),"",VLOOKUP($A180,通讯录!$A:$M,7,FALSE)&amp;"")</f>
        <v/>
      </c>
      <c r="D180" s="41" t="str">
        <f>IF(ISERROR(VLOOKUP($A180,通讯录!$A:$M,5,FALSE)&amp;""),"",VLOOKUP($A180,通讯录!$A:$M,5,FALSE)&amp;"")</f>
        <v/>
      </c>
      <c r="E180" s="41" t="str">
        <f>IF(ISERROR(VLOOKUP($A180,通讯录!$A:$M,6,FALSE)&amp;""),"",VLOOKUP($A180,通讯录!$A:$M,6,FALSE)&amp;"")</f>
        <v/>
      </c>
      <c r="F180" s="41" t="str">
        <f>IF(ISERROR(VLOOKUP($A180,通讯录!$A:$M,4,FALSE)&amp;""),"",VLOOKUP($A180,通讯录!$A:$M,4,FALSE)&amp;"")</f>
        <v/>
      </c>
      <c r="G180" s="41" t="str">
        <f>IF(ISERROR(VLOOKUP($A180,通讯录!$A:$M,8,FALSE)&amp;""),"",VLOOKUP($A180,通讯录!$A:$M,8,FALSE)&amp;"")</f>
        <v/>
      </c>
      <c r="H180" s="41"/>
      <c r="I180" s="41"/>
      <c r="J180" s="41"/>
      <c r="L180" s="29" t="str">
        <f t="shared" si="3"/>
        <v/>
      </c>
    </row>
    <row r="181" spans="2:12">
      <c r="B181" s="41" t="str">
        <f>IF(ISERROR(VLOOKUP($A181,通讯录!$A:$M,3,FALSE)&amp;""),"",VLOOKUP($A181,通讯录!$A:$M,3,FALSE)&amp;"")</f>
        <v/>
      </c>
      <c r="C181" s="41" t="str">
        <f>IF(ISERROR(VLOOKUP($A181,通讯录!$A:$M,7,FALSE)&amp;""),"",VLOOKUP($A181,通讯录!$A:$M,7,FALSE)&amp;"")</f>
        <v/>
      </c>
      <c r="D181" s="41" t="str">
        <f>IF(ISERROR(VLOOKUP($A181,通讯录!$A:$M,5,FALSE)&amp;""),"",VLOOKUP($A181,通讯录!$A:$M,5,FALSE)&amp;"")</f>
        <v/>
      </c>
      <c r="E181" s="41" t="str">
        <f>IF(ISERROR(VLOOKUP($A181,通讯录!$A:$M,6,FALSE)&amp;""),"",VLOOKUP($A181,通讯录!$A:$M,6,FALSE)&amp;"")</f>
        <v/>
      </c>
      <c r="F181" s="41" t="str">
        <f>IF(ISERROR(VLOOKUP($A181,通讯录!$A:$M,4,FALSE)&amp;""),"",VLOOKUP($A181,通讯录!$A:$M,4,FALSE)&amp;"")</f>
        <v/>
      </c>
      <c r="G181" s="41" t="str">
        <f>IF(ISERROR(VLOOKUP($A181,通讯录!$A:$M,8,FALSE)&amp;""),"",VLOOKUP($A181,通讯录!$A:$M,8,FALSE)&amp;"")</f>
        <v/>
      </c>
      <c r="H181" s="41"/>
      <c r="I181" s="41"/>
      <c r="J181" s="41"/>
      <c r="L181" s="29" t="str">
        <f t="shared" si="3"/>
        <v/>
      </c>
    </row>
    <row r="182" spans="2:12">
      <c r="B182" s="41" t="str">
        <f>IF(ISERROR(VLOOKUP($A182,通讯录!$A:$M,3,FALSE)&amp;""),"",VLOOKUP($A182,通讯录!$A:$M,3,FALSE)&amp;"")</f>
        <v/>
      </c>
      <c r="C182" s="41" t="str">
        <f>IF(ISERROR(VLOOKUP($A182,通讯录!$A:$M,7,FALSE)&amp;""),"",VLOOKUP($A182,通讯录!$A:$M,7,FALSE)&amp;"")</f>
        <v/>
      </c>
      <c r="D182" s="41" t="str">
        <f>IF(ISERROR(VLOOKUP($A182,通讯录!$A:$M,5,FALSE)&amp;""),"",VLOOKUP($A182,通讯录!$A:$M,5,FALSE)&amp;"")</f>
        <v/>
      </c>
      <c r="E182" s="41" t="str">
        <f>IF(ISERROR(VLOOKUP($A182,通讯录!$A:$M,6,FALSE)&amp;""),"",VLOOKUP($A182,通讯录!$A:$M,6,FALSE)&amp;"")</f>
        <v/>
      </c>
      <c r="F182" s="41" t="str">
        <f>IF(ISERROR(VLOOKUP($A182,通讯录!$A:$M,4,FALSE)&amp;""),"",VLOOKUP($A182,通讯录!$A:$M,4,FALSE)&amp;"")</f>
        <v/>
      </c>
      <c r="G182" s="41" t="str">
        <f>IF(ISERROR(VLOOKUP($A182,通讯录!$A:$M,8,FALSE)&amp;""),"",VLOOKUP($A182,通讯录!$A:$M,8,FALSE)&amp;"")</f>
        <v/>
      </c>
      <c r="H182" s="41"/>
      <c r="I182" s="41"/>
      <c r="J182" s="41"/>
      <c r="L182" s="29" t="str">
        <f t="shared" si="3"/>
        <v/>
      </c>
    </row>
    <row r="183" spans="2:12">
      <c r="B183" s="41" t="str">
        <f>IF(ISERROR(VLOOKUP($A183,通讯录!$A:$M,3,FALSE)&amp;""),"",VLOOKUP($A183,通讯录!$A:$M,3,FALSE)&amp;"")</f>
        <v/>
      </c>
      <c r="C183" s="41" t="str">
        <f>IF(ISERROR(VLOOKUP($A183,通讯录!$A:$M,7,FALSE)&amp;""),"",VLOOKUP($A183,通讯录!$A:$M,7,FALSE)&amp;"")</f>
        <v/>
      </c>
      <c r="D183" s="41" t="str">
        <f>IF(ISERROR(VLOOKUP($A183,通讯录!$A:$M,5,FALSE)&amp;""),"",VLOOKUP($A183,通讯录!$A:$M,5,FALSE)&amp;"")</f>
        <v/>
      </c>
      <c r="E183" s="41" t="str">
        <f>IF(ISERROR(VLOOKUP($A183,通讯录!$A:$M,6,FALSE)&amp;""),"",VLOOKUP($A183,通讯录!$A:$M,6,FALSE)&amp;"")</f>
        <v/>
      </c>
      <c r="F183" s="41" t="str">
        <f>IF(ISERROR(VLOOKUP($A183,通讯录!$A:$M,4,FALSE)&amp;""),"",VLOOKUP($A183,通讯录!$A:$M,4,FALSE)&amp;"")</f>
        <v/>
      </c>
      <c r="G183" s="41" t="str">
        <f>IF(ISERROR(VLOOKUP($A183,通讯录!$A:$M,8,FALSE)&amp;""),"",VLOOKUP($A183,通讯录!$A:$M,8,FALSE)&amp;"")</f>
        <v/>
      </c>
      <c r="H183" s="41"/>
      <c r="I183" s="41"/>
      <c r="J183" s="41"/>
      <c r="L183" s="29" t="str">
        <f t="shared" si="3"/>
        <v/>
      </c>
    </row>
    <row r="184" spans="2:12">
      <c r="B184" s="41" t="str">
        <f>IF(ISERROR(VLOOKUP($A184,通讯录!$A:$M,3,FALSE)&amp;""),"",VLOOKUP($A184,通讯录!$A:$M,3,FALSE)&amp;"")</f>
        <v/>
      </c>
      <c r="C184" s="41" t="str">
        <f>IF(ISERROR(VLOOKUP($A184,通讯录!$A:$M,7,FALSE)&amp;""),"",VLOOKUP($A184,通讯录!$A:$M,7,FALSE)&amp;"")</f>
        <v/>
      </c>
      <c r="D184" s="41" t="str">
        <f>IF(ISERROR(VLOOKUP($A184,通讯录!$A:$M,5,FALSE)&amp;""),"",VLOOKUP($A184,通讯录!$A:$M,5,FALSE)&amp;"")</f>
        <v/>
      </c>
      <c r="E184" s="41" t="str">
        <f>IF(ISERROR(VLOOKUP($A184,通讯录!$A:$M,6,FALSE)&amp;""),"",VLOOKUP($A184,通讯录!$A:$M,6,FALSE)&amp;"")</f>
        <v/>
      </c>
      <c r="F184" s="41" t="str">
        <f>IF(ISERROR(VLOOKUP($A184,通讯录!$A:$M,4,FALSE)&amp;""),"",VLOOKUP($A184,通讯录!$A:$M,4,FALSE)&amp;"")</f>
        <v/>
      </c>
      <c r="G184" s="41" t="str">
        <f>IF(ISERROR(VLOOKUP($A184,通讯录!$A:$M,8,FALSE)&amp;""),"",VLOOKUP($A184,通讯录!$A:$M,8,FALSE)&amp;"")</f>
        <v/>
      </c>
      <c r="H184" s="41"/>
      <c r="I184" s="41"/>
      <c r="J184" s="41"/>
      <c r="L184" s="29" t="str">
        <f t="shared" si="3"/>
        <v/>
      </c>
    </row>
    <row r="185" spans="2:12">
      <c r="B185" s="41" t="str">
        <f>IF(ISERROR(VLOOKUP($A185,通讯录!$A:$M,3,FALSE)&amp;""),"",VLOOKUP($A185,通讯录!$A:$M,3,FALSE)&amp;"")</f>
        <v/>
      </c>
      <c r="C185" s="41" t="str">
        <f>IF(ISERROR(VLOOKUP($A185,通讯录!$A:$M,7,FALSE)&amp;""),"",VLOOKUP($A185,通讯录!$A:$M,7,FALSE)&amp;"")</f>
        <v/>
      </c>
      <c r="D185" s="41" t="str">
        <f>IF(ISERROR(VLOOKUP($A185,通讯录!$A:$M,5,FALSE)&amp;""),"",VLOOKUP($A185,通讯录!$A:$M,5,FALSE)&amp;"")</f>
        <v/>
      </c>
      <c r="E185" s="41" t="str">
        <f>IF(ISERROR(VLOOKUP($A185,通讯录!$A:$M,6,FALSE)&amp;""),"",VLOOKUP($A185,通讯录!$A:$M,6,FALSE)&amp;"")</f>
        <v/>
      </c>
      <c r="F185" s="41" t="str">
        <f>IF(ISERROR(VLOOKUP($A185,通讯录!$A:$M,4,FALSE)&amp;""),"",VLOOKUP($A185,通讯录!$A:$M,4,FALSE)&amp;"")</f>
        <v/>
      </c>
      <c r="G185" s="41" t="str">
        <f>IF(ISERROR(VLOOKUP($A185,通讯录!$A:$M,8,FALSE)&amp;""),"",VLOOKUP($A185,通讯录!$A:$M,8,FALSE)&amp;"")</f>
        <v/>
      </c>
      <c r="H185" s="41"/>
      <c r="I185" s="41"/>
      <c r="J185" s="41"/>
      <c r="L185" s="29" t="str">
        <f t="shared" si="3"/>
        <v/>
      </c>
    </row>
    <row r="186" spans="2:12">
      <c r="B186" s="41" t="str">
        <f>IF(ISERROR(VLOOKUP($A186,通讯录!$A:$M,3,FALSE)&amp;""),"",VLOOKUP($A186,通讯录!$A:$M,3,FALSE)&amp;"")</f>
        <v/>
      </c>
      <c r="C186" s="41" t="str">
        <f>IF(ISERROR(VLOOKUP($A186,通讯录!$A:$M,7,FALSE)&amp;""),"",VLOOKUP($A186,通讯录!$A:$M,7,FALSE)&amp;"")</f>
        <v/>
      </c>
      <c r="D186" s="41" t="str">
        <f>IF(ISERROR(VLOOKUP($A186,通讯录!$A:$M,5,FALSE)&amp;""),"",VLOOKUP($A186,通讯录!$A:$M,5,FALSE)&amp;"")</f>
        <v/>
      </c>
      <c r="E186" s="41" t="str">
        <f>IF(ISERROR(VLOOKUP($A186,通讯录!$A:$M,6,FALSE)&amp;""),"",VLOOKUP($A186,通讯录!$A:$M,6,FALSE)&amp;"")</f>
        <v/>
      </c>
      <c r="F186" s="41" t="str">
        <f>IF(ISERROR(VLOOKUP($A186,通讯录!$A:$M,4,FALSE)&amp;""),"",VLOOKUP($A186,通讯录!$A:$M,4,FALSE)&amp;"")</f>
        <v/>
      </c>
      <c r="G186" s="41" t="str">
        <f>IF(ISERROR(VLOOKUP($A186,通讯录!$A:$M,8,FALSE)&amp;""),"",VLOOKUP($A186,通讯录!$A:$M,8,FALSE)&amp;"")</f>
        <v/>
      </c>
      <c r="H186" s="41"/>
      <c r="I186" s="41"/>
      <c r="J186" s="41"/>
      <c r="L186" s="29" t="str">
        <f t="shared" si="3"/>
        <v/>
      </c>
    </row>
    <row r="187" spans="2:12">
      <c r="B187" s="41" t="str">
        <f>IF(ISERROR(VLOOKUP($A187,通讯录!$A:$M,3,FALSE)&amp;""),"",VLOOKUP($A187,通讯录!$A:$M,3,FALSE)&amp;"")</f>
        <v/>
      </c>
      <c r="C187" s="41" t="str">
        <f>IF(ISERROR(VLOOKUP($A187,通讯录!$A:$M,7,FALSE)&amp;""),"",VLOOKUP($A187,通讯录!$A:$M,7,FALSE)&amp;"")</f>
        <v/>
      </c>
      <c r="D187" s="41" t="str">
        <f>IF(ISERROR(VLOOKUP($A187,通讯录!$A:$M,5,FALSE)&amp;""),"",VLOOKUP($A187,通讯录!$A:$M,5,FALSE)&amp;"")</f>
        <v/>
      </c>
      <c r="E187" s="41" t="str">
        <f>IF(ISERROR(VLOOKUP($A187,通讯录!$A:$M,6,FALSE)&amp;""),"",VLOOKUP($A187,通讯录!$A:$M,6,FALSE)&amp;"")</f>
        <v/>
      </c>
      <c r="F187" s="41" t="str">
        <f>IF(ISERROR(VLOOKUP($A187,通讯录!$A:$M,4,FALSE)&amp;""),"",VLOOKUP($A187,通讯录!$A:$M,4,FALSE)&amp;"")</f>
        <v/>
      </c>
      <c r="G187" s="41" t="str">
        <f>IF(ISERROR(VLOOKUP($A187,通讯录!$A:$M,8,FALSE)&amp;""),"",VLOOKUP($A187,通讯录!$A:$M,8,FALSE)&amp;"")</f>
        <v/>
      </c>
      <c r="H187" s="41"/>
      <c r="I187" s="41"/>
      <c r="J187" s="41"/>
      <c r="L187" s="29" t="str">
        <f t="shared" si="3"/>
        <v/>
      </c>
    </row>
    <row r="188" spans="2:12">
      <c r="B188" s="41" t="str">
        <f>IF(ISERROR(VLOOKUP($A188,通讯录!$A:$M,3,FALSE)&amp;""),"",VLOOKUP($A188,通讯录!$A:$M,3,FALSE)&amp;"")</f>
        <v/>
      </c>
      <c r="C188" s="41" t="str">
        <f>IF(ISERROR(VLOOKUP($A188,通讯录!$A:$M,7,FALSE)&amp;""),"",VLOOKUP($A188,通讯录!$A:$M,7,FALSE)&amp;"")</f>
        <v/>
      </c>
      <c r="D188" s="41" t="str">
        <f>IF(ISERROR(VLOOKUP($A188,通讯录!$A:$M,5,FALSE)&amp;""),"",VLOOKUP($A188,通讯录!$A:$M,5,FALSE)&amp;"")</f>
        <v/>
      </c>
      <c r="E188" s="41" t="str">
        <f>IF(ISERROR(VLOOKUP($A188,通讯录!$A:$M,6,FALSE)&amp;""),"",VLOOKUP($A188,通讯录!$A:$M,6,FALSE)&amp;"")</f>
        <v/>
      </c>
      <c r="F188" s="41" t="str">
        <f>IF(ISERROR(VLOOKUP($A188,通讯录!$A:$M,4,FALSE)&amp;""),"",VLOOKUP($A188,通讯录!$A:$M,4,FALSE)&amp;"")</f>
        <v/>
      </c>
      <c r="G188" s="41" t="str">
        <f>IF(ISERROR(VLOOKUP($A188,通讯录!$A:$M,8,FALSE)&amp;""),"",VLOOKUP($A188,通讯录!$A:$M,8,FALSE)&amp;"")</f>
        <v/>
      </c>
      <c r="H188" s="41"/>
      <c r="I188" s="41"/>
      <c r="J188" s="41"/>
      <c r="L188" s="29" t="str">
        <f t="shared" si="3"/>
        <v/>
      </c>
    </row>
    <row r="189" spans="2:12">
      <c r="B189" s="41" t="str">
        <f>IF(ISERROR(VLOOKUP($A189,通讯录!$A:$M,3,FALSE)&amp;""),"",VLOOKUP($A189,通讯录!$A:$M,3,FALSE)&amp;"")</f>
        <v/>
      </c>
      <c r="C189" s="41" t="str">
        <f>IF(ISERROR(VLOOKUP($A189,通讯录!$A:$M,7,FALSE)&amp;""),"",VLOOKUP($A189,通讯录!$A:$M,7,FALSE)&amp;"")</f>
        <v/>
      </c>
      <c r="D189" s="41" t="str">
        <f>IF(ISERROR(VLOOKUP($A189,通讯录!$A:$M,5,FALSE)&amp;""),"",VLOOKUP($A189,通讯录!$A:$M,5,FALSE)&amp;"")</f>
        <v/>
      </c>
      <c r="E189" s="41" t="str">
        <f>IF(ISERROR(VLOOKUP($A189,通讯录!$A:$M,6,FALSE)&amp;""),"",VLOOKUP($A189,通讯录!$A:$M,6,FALSE)&amp;"")</f>
        <v/>
      </c>
      <c r="F189" s="41" t="str">
        <f>IF(ISERROR(VLOOKUP($A189,通讯录!$A:$M,4,FALSE)&amp;""),"",VLOOKUP($A189,通讯录!$A:$M,4,FALSE)&amp;"")</f>
        <v/>
      </c>
      <c r="G189" s="41" t="str">
        <f>IF(ISERROR(VLOOKUP($A189,通讯录!$A:$M,8,FALSE)&amp;""),"",VLOOKUP($A189,通讯录!$A:$M,8,FALSE)&amp;"")</f>
        <v/>
      </c>
      <c r="H189" s="41"/>
      <c r="I189" s="41"/>
      <c r="J189" s="41"/>
      <c r="L189" s="29" t="str">
        <f t="shared" si="3"/>
        <v/>
      </c>
    </row>
    <row r="190" spans="2:12">
      <c r="B190" s="41" t="str">
        <f>IF(ISERROR(VLOOKUP($A190,通讯录!$A:$M,3,FALSE)&amp;""),"",VLOOKUP($A190,通讯录!$A:$M,3,FALSE)&amp;"")</f>
        <v/>
      </c>
      <c r="C190" s="41" t="str">
        <f>IF(ISERROR(VLOOKUP($A190,通讯录!$A:$M,7,FALSE)&amp;""),"",VLOOKUP($A190,通讯录!$A:$M,7,FALSE)&amp;"")</f>
        <v/>
      </c>
      <c r="D190" s="41" t="str">
        <f>IF(ISERROR(VLOOKUP($A190,通讯录!$A:$M,5,FALSE)&amp;""),"",VLOOKUP($A190,通讯录!$A:$M,5,FALSE)&amp;"")</f>
        <v/>
      </c>
      <c r="E190" s="41" t="str">
        <f>IF(ISERROR(VLOOKUP($A190,通讯录!$A:$M,6,FALSE)&amp;""),"",VLOOKUP($A190,通讯录!$A:$M,6,FALSE)&amp;"")</f>
        <v/>
      </c>
      <c r="F190" s="41" t="str">
        <f>IF(ISERROR(VLOOKUP($A190,通讯录!$A:$M,4,FALSE)&amp;""),"",VLOOKUP($A190,通讯录!$A:$M,4,FALSE)&amp;"")</f>
        <v/>
      </c>
      <c r="G190" s="41" t="str">
        <f>IF(ISERROR(VLOOKUP($A190,通讯录!$A:$M,8,FALSE)&amp;""),"",VLOOKUP($A190,通讯录!$A:$M,8,FALSE)&amp;"")</f>
        <v/>
      </c>
      <c r="H190" s="41"/>
      <c r="I190" s="41"/>
      <c r="J190" s="41"/>
      <c r="L190" s="29" t="str">
        <f t="shared" si="3"/>
        <v/>
      </c>
    </row>
    <row r="191" spans="2:12">
      <c r="B191" s="41" t="str">
        <f>IF(ISERROR(VLOOKUP($A191,通讯录!$A:$M,3,FALSE)&amp;""),"",VLOOKUP($A191,通讯录!$A:$M,3,FALSE)&amp;"")</f>
        <v/>
      </c>
      <c r="C191" s="41" t="str">
        <f>IF(ISERROR(VLOOKUP($A191,通讯录!$A:$M,7,FALSE)&amp;""),"",VLOOKUP($A191,通讯录!$A:$M,7,FALSE)&amp;"")</f>
        <v/>
      </c>
      <c r="D191" s="41" t="str">
        <f>IF(ISERROR(VLOOKUP($A191,通讯录!$A:$M,5,FALSE)&amp;""),"",VLOOKUP($A191,通讯录!$A:$M,5,FALSE)&amp;"")</f>
        <v/>
      </c>
      <c r="E191" s="41" t="str">
        <f>IF(ISERROR(VLOOKUP($A191,通讯录!$A:$M,6,FALSE)&amp;""),"",VLOOKUP($A191,通讯录!$A:$M,6,FALSE)&amp;"")</f>
        <v/>
      </c>
      <c r="F191" s="41" t="str">
        <f>IF(ISERROR(VLOOKUP($A191,通讯录!$A:$M,4,FALSE)&amp;""),"",VLOOKUP($A191,通讯录!$A:$M,4,FALSE)&amp;"")</f>
        <v/>
      </c>
      <c r="G191" s="41" t="str">
        <f>IF(ISERROR(VLOOKUP($A191,通讯录!$A:$M,8,FALSE)&amp;""),"",VLOOKUP($A191,通讯录!$A:$M,8,FALSE)&amp;"")</f>
        <v/>
      </c>
      <c r="H191" s="41"/>
      <c r="I191" s="41"/>
      <c r="J191" s="41"/>
      <c r="L191" s="29" t="str">
        <f t="shared" si="3"/>
        <v/>
      </c>
    </row>
    <row r="192" spans="2:12">
      <c r="B192" s="41" t="str">
        <f>IF(ISERROR(VLOOKUP($A192,通讯录!$A:$M,3,FALSE)&amp;""),"",VLOOKUP($A192,通讯录!$A:$M,3,FALSE)&amp;"")</f>
        <v/>
      </c>
      <c r="C192" s="41" t="str">
        <f>IF(ISERROR(VLOOKUP($A192,通讯录!$A:$M,7,FALSE)&amp;""),"",VLOOKUP($A192,通讯录!$A:$M,7,FALSE)&amp;"")</f>
        <v/>
      </c>
      <c r="D192" s="41" t="str">
        <f>IF(ISERROR(VLOOKUP($A192,通讯录!$A:$M,5,FALSE)&amp;""),"",VLOOKUP($A192,通讯录!$A:$M,5,FALSE)&amp;"")</f>
        <v/>
      </c>
      <c r="E192" s="41" t="str">
        <f>IF(ISERROR(VLOOKUP($A192,通讯录!$A:$M,6,FALSE)&amp;""),"",VLOOKUP($A192,通讯录!$A:$M,6,FALSE)&amp;"")</f>
        <v/>
      </c>
      <c r="F192" s="41" t="str">
        <f>IF(ISERROR(VLOOKUP($A192,通讯录!$A:$M,4,FALSE)&amp;""),"",VLOOKUP($A192,通讯录!$A:$M,4,FALSE)&amp;"")</f>
        <v/>
      </c>
      <c r="G192" s="41" t="str">
        <f>IF(ISERROR(VLOOKUP($A192,通讯录!$A:$M,8,FALSE)&amp;""),"",VLOOKUP($A192,通讯录!$A:$M,8,FALSE)&amp;"")</f>
        <v/>
      </c>
      <c r="H192" s="41"/>
      <c r="I192" s="41"/>
      <c r="J192" s="41"/>
      <c r="L192" s="29" t="str">
        <f t="shared" si="3"/>
        <v/>
      </c>
    </row>
    <row r="193" spans="2:12">
      <c r="B193" s="41" t="str">
        <f>IF(ISERROR(VLOOKUP($A193,通讯录!$A:$M,3,FALSE)&amp;""),"",VLOOKUP($A193,通讯录!$A:$M,3,FALSE)&amp;"")</f>
        <v/>
      </c>
      <c r="C193" s="41" t="str">
        <f>IF(ISERROR(VLOOKUP($A193,通讯录!$A:$M,7,FALSE)&amp;""),"",VLOOKUP($A193,通讯录!$A:$M,7,FALSE)&amp;"")</f>
        <v/>
      </c>
      <c r="D193" s="41" t="str">
        <f>IF(ISERROR(VLOOKUP($A193,通讯录!$A:$M,5,FALSE)&amp;""),"",VLOOKUP($A193,通讯录!$A:$M,5,FALSE)&amp;"")</f>
        <v/>
      </c>
      <c r="E193" s="41" t="str">
        <f>IF(ISERROR(VLOOKUP($A193,通讯录!$A:$M,6,FALSE)&amp;""),"",VLOOKUP($A193,通讯录!$A:$M,6,FALSE)&amp;"")</f>
        <v/>
      </c>
      <c r="F193" s="41" t="str">
        <f>IF(ISERROR(VLOOKUP($A193,通讯录!$A:$M,4,FALSE)&amp;""),"",VLOOKUP($A193,通讯录!$A:$M,4,FALSE)&amp;"")</f>
        <v/>
      </c>
      <c r="G193" s="41" t="str">
        <f>IF(ISERROR(VLOOKUP($A193,通讯录!$A:$M,8,FALSE)&amp;""),"",VLOOKUP($A193,通讯录!$A:$M,8,FALSE)&amp;"")</f>
        <v/>
      </c>
      <c r="H193" s="41"/>
      <c r="I193" s="41"/>
      <c r="J193" s="41"/>
      <c r="L193" s="29" t="str">
        <f t="shared" si="3"/>
        <v/>
      </c>
    </row>
    <row r="194" spans="2:12">
      <c r="B194" s="41" t="str">
        <f>IF(ISERROR(VLOOKUP($A194,通讯录!$A:$M,3,FALSE)&amp;""),"",VLOOKUP($A194,通讯录!$A:$M,3,FALSE)&amp;"")</f>
        <v/>
      </c>
      <c r="C194" s="41" t="str">
        <f>IF(ISERROR(VLOOKUP($A194,通讯录!$A:$M,7,FALSE)&amp;""),"",VLOOKUP($A194,通讯录!$A:$M,7,FALSE)&amp;"")</f>
        <v/>
      </c>
      <c r="D194" s="41" t="str">
        <f>IF(ISERROR(VLOOKUP($A194,通讯录!$A:$M,5,FALSE)&amp;""),"",VLOOKUP($A194,通讯录!$A:$M,5,FALSE)&amp;"")</f>
        <v/>
      </c>
      <c r="E194" s="41" t="str">
        <f>IF(ISERROR(VLOOKUP($A194,通讯录!$A:$M,6,FALSE)&amp;""),"",VLOOKUP($A194,通讯录!$A:$M,6,FALSE)&amp;"")</f>
        <v/>
      </c>
      <c r="F194" s="41" t="str">
        <f>IF(ISERROR(VLOOKUP($A194,通讯录!$A:$M,4,FALSE)&amp;""),"",VLOOKUP($A194,通讯录!$A:$M,4,FALSE)&amp;"")</f>
        <v/>
      </c>
      <c r="G194" s="41" t="str">
        <f>IF(ISERROR(VLOOKUP($A194,通讯录!$A:$M,8,FALSE)&amp;""),"",VLOOKUP($A194,通讯录!$A:$M,8,FALSE)&amp;"")</f>
        <v/>
      </c>
      <c r="H194" s="41"/>
      <c r="I194" s="41"/>
      <c r="J194" s="41"/>
      <c r="L194" s="29" t="str">
        <f t="shared" si="3"/>
        <v/>
      </c>
    </row>
    <row r="195" spans="2:12">
      <c r="B195" s="41" t="str">
        <f>IF(ISERROR(VLOOKUP($A195,通讯录!$A:$M,3,FALSE)&amp;""),"",VLOOKUP($A195,通讯录!$A:$M,3,FALSE)&amp;"")</f>
        <v/>
      </c>
      <c r="C195" s="41" t="str">
        <f>IF(ISERROR(VLOOKUP($A195,通讯录!$A:$M,7,FALSE)&amp;""),"",VLOOKUP($A195,通讯录!$A:$M,7,FALSE)&amp;"")</f>
        <v/>
      </c>
      <c r="D195" s="41" t="str">
        <f>IF(ISERROR(VLOOKUP($A195,通讯录!$A:$M,5,FALSE)&amp;""),"",VLOOKUP($A195,通讯录!$A:$M,5,FALSE)&amp;"")</f>
        <v/>
      </c>
      <c r="E195" s="41" t="str">
        <f>IF(ISERROR(VLOOKUP($A195,通讯录!$A:$M,6,FALSE)&amp;""),"",VLOOKUP($A195,通讯录!$A:$M,6,FALSE)&amp;"")</f>
        <v/>
      </c>
      <c r="F195" s="41" t="str">
        <f>IF(ISERROR(VLOOKUP($A195,通讯录!$A:$M,4,FALSE)&amp;""),"",VLOOKUP($A195,通讯录!$A:$M,4,FALSE)&amp;"")</f>
        <v/>
      </c>
      <c r="G195" s="41" t="str">
        <f>IF(ISERROR(VLOOKUP($A195,通讯录!$A:$M,8,FALSE)&amp;""),"",VLOOKUP($A195,通讯录!$A:$M,8,FALSE)&amp;"")</f>
        <v/>
      </c>
      <c r="H195" s="41"/>
      <c r="I195" s="41"/>
      <c r="J195" s="41"/>
      <c r="L195" s="29" t="str">
        <f t="shared" si="3"/>
        <v/>
      </c>
    </row>
    <row r="196" spans="2:12">
      <c r="B196" s="41" t="str">
        <f>IF(ISERROR(VLOOKUP($A196,通讯录!$A:$M,3,FALSE)&amp;""),"",VLOOKUP($A196,通讯录!$A:$M,3,FALSE)&amp;"")</f>
        <v/>
      </c>
      <c r="C196" s="41" t="str">
        <f>IF(ISERROR(VLOOKUP($A196,通讯录!$A:$M,7,FALSE)&amp;""),"",VLOOKUP($A196,通讯录!$A:$M,7,FALSE)&amp;"")</f>
        <v/>
      </c>
      <c r="D196" s="41" t="str">
        <f>IF(ISERROR(VLOOKUP($A196,通讯录!$A:$M,5,FALSE)&amp;""),"",VLOOKUP($A196,通讯录!$A:$M,5,FALSE)&amp;"")</f>
        <v/>
      </c>
      <c r="E196" s="41" t="str">
        <f>IF(ISERROR(VLOOKUP($A196,通讯录!$A:$M,6,FALSE)&amp;""),"",VLOOKUP($A196,通讯录!$A:$M,6,FALSE)&amp;"")</f>
        <v/>
      </c>
      <c r="F196" s="41" t="str">
        <f>IF(ISERROR(VLOOKUP($A196,通讯录!$A:$M,4,FALSE)&amp;""),"",VLOOKUP($A196,通讯录!$A:$M,4,FALSE)&amp;"")</f>
        <v/>
      </c>
      <c r="G196" s="41" t="str">
        <f>IF(ISERROR(VLOOKUP($A196,通讯录!$A:$M,8,FALSE)&amp;""),"",VLOOKUP($A196,通讯录!$A:$M,8,FALSE)&amp;"")</f>
        <v/>
      </c>
      <c r="H196" s="41"/>
      <c r="I196" s="41"/>
      <c r="J196" s="41"/>
      <c r="L196" s="29" t="str">
        <f t="shared" si="3"/>
        <v/>
      </c>
    </row>
    <row r="197" spans="2:12">
      <c r="B197" s="41" t="str">
        <f>IF(ISERROR(VLOOKUP($A197,通讯录!$A:$M,3,FALSE)&amp;""),"",VLOOKUP($A197,通讯录!$A:$M,3,FALSE)&amp;"")</f>
        <v/>
      </c>
      <c r="C197" s="41" t="str">
        <f>IF(ISERROR(VLOOKUP($A197,通讯录!$A:$M,7,FALSE)&amp;""),"",VLOOKUP($A197,通讯录!$A:$M,7,FALSE)&amp;"")</f>
        <v/>
      </c>
      <c r="D197" s="41" t="str">
        <f>IF(ISERROR(VLOOKUP($A197,通讯录!$A:$M,5,FALSE)&amp;""),"",VLOOKUP($A197,通讯录!$A:$M,5,FALSE)&amp;"")</f>
        <v/>
      </c>
      <c r="E197" s="41" t="str">
        <f>IF(ISERROR(VLOOKUP($A197,通讯录!$A:$M,6,FALSE)&amp;""),"",VLOOKUP($A197,通讯录!$A:$M,6,FALSE)&amp;"")</f>
        <v/>
      </c>
      <c r="F197" s="41" t="str">
        <f>IF(ISERROR(VLOOKUP($A197,通讯录!$A:$M,4,FALSE)&amp;""),"",VLOOKUP($A197,通讯录!$A:$M,4,FALSE)&amp;"")</f>
        <v/>
      </c>
      <c r="G197" s="41" t="str">
        <f>IF(ISERROR(VLOOKUP($A197,通讯录!$A:$M,8,FALSE)&amp;""),"",VLOOKUP($A197,通讯录!$A:$M,8,FALSE)&amp;"")</f>
        <v/>
      </c>
      <c r="H197" s="41"/>
      <c r="I197" s="41"/>
      <c r="J197" s="41"/>
      <c r="L197" s="29" t="str">
        <f t="shared" si="3"/>
        <v/>
      </c>
    </row>
    <row r="198" spans="2:12">
      <c r="B198" s="41" t="str">
        <f>IF(ISERROR(VLOOKUP($A198,通讯录!$A:$M,3,FALSE)&amp;""),"",VLOOKUP($A198,通讯录!$A:$M,3,FALSE)&amp;"")</f>
        <v/>
      </c>
      <c r="C198" s="41" t="str">
        <f>IF(ISERROR(VLOOKUP($A198,通讯录!$A:$M,7,FALSE)&amp;""),"",VLOOKUP($A198,通讯录!$A:$M,7,FALSE)&amp;"")</f>
        <v/>
      </c>
      <c r="D198" s="41" t="str">
        <f>IF(ISERROR(VLOOKUP($A198,通讯录!$A:$M,5,FALSE)&amp;""),"",VLOOKUP($A198,通讯录!$A:$M,5,FALSE)&amp;"")</f>
        <v/>
      </c>
      <c r="E198" s="41" t="str">
        <f>IF(ISERROR(VLOOKUP($A198,通讯录!$A:$M,6,FALSE)&amp;""),"",VLOOKUP($A198,通讯录!$A:$M,6,FALSE)&amp;"")</f>
        <v/>
      </c>
      <c r="F198" s="41" t="str">
        <f>IF(ISERROR(VLOOKUP($A198,通讯录!$A:$M,4,FALSE)&amp;""),"",VLOOKUP($A198,通讯录!$A:$M,4,FALSE)&amp;"")</f>
        <v/>
      </c>
      <c r="G198" s="41" t="str">
        <f>IF(ISERROR(VLOOKUP($A198,通讯录!$A:$M,8,FALSE)&amp;""),"",VLOOKUP($A198,通讯录!$A:$M,8,FALSE)&amp;"")</f>
        <v/>
      </c>
      <c r="H198" s="41"/>
      <c r="I198" s="41"/>
      <c r="J198" s="41"/>
      <c r="L198" s="29" t="str">
        <f t="shared" si="3"/>
        <v/>
      </c>
    </row>
    <row r="199" spans="2:12">
      <c r="B199" s="41" t="str">
        <f>IF(ISERROR(VLOOKUP($A199,通讯录!$A:$M,3,FALSE)&amp;""),"",VLOOKUP($A199,通讯录!$A:$M,3,FALSE)&amp;"")</f>
        <v/>
      </c>
      <c r="C199" s="41" t="str">
        <f>IF(ISERROR(VLOOKUP($A199,通讯录!$A:$M,7,FALSE)&amp;""),"",VLOOKUP($A199,通讯录!$A:$M,7,FALSE)&amp;"")</f>
        <v/>
      </c>
      <c r="D199" s="41" t="str">
        <f>IF(ISERROR(VLOOKUP($A199,通讯录!$A:$M,5,FALSE)&amp;""),"",VLOOKUP($A199,通讯录!$A:$M,5,FALSE)&amp;"")</f>
        <v/>
      </c>
      <c r="E199" s="41" t="str">
        <f>IF(ISERROR(VLOOKUP($A199,通讯录!$A:$M,6,FALSE)&amp;""),"",VLOOKUP($A199,通讯录!$A:$M,6,FALSE)&amp;"")</f>
        <v/>
      </c>
      <c r="F199" s="41" t="str">
        <f>IF(ISERROR(VLOOKUP($A199,通讯录!$A:$M,4,FALSE)&amp;""),"",VLOOKUP($A199,通讯录!$A:$M,4,FALSE)&amp;"")</f>
        <v/>
      </c>
      <c r="G199" s="41" t="str">
        <f>IF(ISERROR(VLOOKUP($A199,通讯录!$A:$M,8,FALSE)&amp;""),"",VLOOKUP($A199,通讯录!$A:$M,8,FALSE)&amp;"")</f>
        <v/>
      </c>
      <c r="H199" s="41"/>
      <c r="I199" s="41"/>
      <c r="J199" s="41"/>
      <c r="L199" s="29" t="str">
        <f t="shared" si="3"/>
        <v/>
      </c>
    </row>
    <row r="200" spans="2:12">
      <c r="B200" s="41" t="str">
        <f>IF(ISERROR(VLOOKUP($A200,通讯录!$A:$M,3,FALSE)&amp;""),"",VLOOKUP($A200,通讯录!$A:$M,3,FALSE)&amp;"")</f>
        <v/>
      </c>
      <c r="C200" s="41" t="str">
        <f>IF(ISERROR(VLOOKUP($A200,通讯录!$A:$M,7,FALSE)&amp;""),"",VLOOKUP($A200,通讯录!$A:$M,7,FALSE)&amp;"")</f>
        <v/>
      </c>
      <c r="D200" s="41" t="str">
        <f>IF(ISERROR(VLOOKUP($A200,通讯录!$A:$M,5,FALSE)&amp;""),"",VLOOKUP($A200,通讯录!$A:$M,5,FALSE)&amp;"")</f>
        <v/>
      </c>
      <c r="E200" s="41" t="str">
        <f>IF(ISERROR(VLOOKUP($A200,通讯录!$A:$M,6,FALSE)&amp;""),"",VLOOKUP($A200,通讯录!$A:$M,6,FALSE)&amp;"")</f>
        <v/>
      </c>
      <c r="F200" s="41" t="str">
        <f>IF(ISERROR(VLOOKUP($A200,通讯录!$A:$M,4,FALSE)&amp;""),"",VLOOKUP($A200,通讯录!$A:$M,4,FALSE)&amp;"")</f>
        <v/>
      </c>
      <c r="G200" s="41" t="str">
        <f>IF(ISERROR(VLOOKUP($A200,通讯录!$A:$M,8,FALSE)&amp;""),"",VLOOKUP($A200,通讯录!$A:$M,8,FALSE)&amp;"")</f>
        <v/>
      </c>
      <c r="H200" s="41"/>
      <c r="I200" s="41"/>
      <c r="J200" s="41"/>
      <c r="L200" s="29" t="str">
        <f t="shared" si="3"/>
        <v/>
      </c>
    </row>
    <row r="201" spans="2:12">
      <c r="B201" s="41" t="str">
        <f>IF(ISERROR(VLOOKUP($A201,通讯录!$A:$M,3,FALSE)&amp;""),"",VLOOKUP($A201,通讯录!$A:$M,3,FALSE)&amp;"")</f>
        <v/>
      </c>
      <c r="C201" s="41" t="str">
        <f>IF(ISERROR(VLOOKUP($A201,通讯录!$A:$M,7,FALSE)&amp;""),"",VLOOKUP($A201,通讯录!$A:$M,7,FALSE)&amp;"")</f>
        <v/>
      </c>
      <c r="D201" s="41" t="str">
        <f>IF(ISERROR(VLOOKUP($A201,通讯录!$A:$M,5,FALSE)&amp;""),"",VLOOKUP($A201,通讯录!$A:$M,5,FALSE)&amp;"")</f>
        <v/>
      </c>
      <c r="E201" s="41" t="str">
        <f>IF(ISERROR(VLOOKUP($A201,通讯录!$A:$M,6,FALSE)&amp;""),"",VLOOKUP($A201,通讯录!$A:$M,6,FALSE)&amp;"")</f>
        <v/>
      </c>
      <c r="F201" s="41" t="str">
        <f>IF(ISERROR(VLOOKUP($A201,通讯录!$A:$M,4,FALSE)&amp;""),"",VLOOKUP($A201,通讯录!$A:$M,4,FALSE)&amp;"")</f>
        <v/>
      </c>
      <c r="G201" s="41" t="str">
        <f>IF(ISERROR(VLOOKUP($A201,通讯录!$A:$M,8,FALSE)&amp;""),"",VLOOKUP($A201,通讯录!$A:$M,8,FALSE)&amp;"")</f>
        <v/>
      </c>
      <c r="H201" s="41"/>
      <c r="I201" s="41"/>
      <c r="J201" s="41"/>
      <c r="L201" s="29" t="str">
        <f t="shared" si="3"/>
        <v/>
      </c>
    </row>
    <row r="202" spans="2:12">
      <c r="B202" s="41" t="str">
        <f>IF(ISERROR(VLOOKUP($A202,通讯录!$A:$M,3,FALSE)&amp;""),"",VLOOKUP($A202,通讯录!$A:$M,3,FALSE)&amp;"")</f>
        <v/>
      </c>
      <c r="C202" s="41" t="str">
        <f>IF(ISERROR(VLOOKUP($A202,通讯录!$A:$M,7,FALSE)&amp;""),"",VLOOKUP($A202,通讯录!$A:$M,7,FALSE)&amp;"")</f>
        <v/>
      </c>
      <c r="D202" s="41" t="str">
        <f>IF(ISERROR(VLOOKUP($A202,通讯录!$A:$M,5,FALSE)&amp;""),"",VLOOKUP($A202,通讯录!$A:$M,5,FALSE)&amp;"")</f>
        <v/>
      </c>
      <c r="E202" s="41" t="str">
        <f>IF(ISERROR(VLOOKUP($A202,通讯录!$A:$M,6,FALSE)&amp;""),"",VLOOKUP($A202,通讯录!$A:$M,6,FALSE)&amp;"")</f>
        <v/>
      </c>
      <c r="F202" s="41" t="str">
        <f>IF(ISERROR(VLOOKUP($A202,通讯录!$A:$M,4,FALSE)&amp;""),"",VLOOKUP($A202,通讯录!$A:$M,4,FALSE)&amp;"")</f>
        <v/>
      </c>
      <c r="G202" s="41" t="str">
        <f>IF(ISERROR(VLOOKUP($A202,通讯录!$A:$M,8,FALSE)&amp;""),"",VLOOKUP($A202,通讯录!$A:$M,8,FALSE)&amp;"")</f>
        <v/>
      </c>
      <c r="H202" s="41"/>
      <c r="I202" s="41"/>
      <c r="J202" s="41"/>
      <c r="L202" s="29" t="str">
        <f t="shared" si="3"/>
        <v/>
      </c>
    </row>
    <row r="203" spans="2:12">
      <c r="B203" s="41" t="str">
        <f>IF(ISERROR(VLOOKUP($A203,通讯录!$A:$M,3,FALSE)&amp;""),"",VLOOKUP($A203,通讯录!$A:$M,3,FALSE)&amp;"")</f>
        <v/>
      </c>
      <c r="C203" s="41" t="str">
        <f>IF(ISERROR(VLOOKUP($A203,通讯录!$A:$M,7,FALSE)&amp;""),"",VLOOKUP($A203,通讯录!$A:$M,7,FALSE)&amp;"")</f>
        <v/>
      </c>
      <c r="D203" s="41" t="str">
        <f>IF(ISERROR(VLOOKUP($A203,通讯录!$A:$M,5,FALSE)&amp;""),"",VLOOKUP($A203,通讯录!$A:$M,5,FALSE)&amp;"")</f>
        <v/>
      </c>
      <c r="E203" s="41" t="str">
        <f>IF(ISERROR(VLOOKUP($A203,通讯录!$A:$M,6,FALSE)&amp;""),"",VLOOKUP($A203,通讯录!$A:$M,6,FALSE)&amp;"")</f>
        <v/>
      </c>
      <c r="F203" s="41" t="str">
        <f>IF(ISERROR(VLOOKUP($A203,通讯录!$A:$M,4,FALSE)&amp;""),"",VLOOKUP($A203,通讯录!$A:$M,4,FALSE)&amp;"")</f>
        <v/>
      </c>
      <c r="G203" s="41" t="str">
        <f>IF(ISERROR(VLOOKUP($A203,通讯录!$A:$M,8,FALSE)&amp;""),"",VLOOKUP($A203,通讯录!$A:$M,8,FALSE)&amp;"")</f>
        <v/>
      </c>
      <c r="H203" s="41"/>
      <c r="I203" s="41"/>
      <c r="J203" s="41"/>
      <c r="L203" s="29" t="str">
        <f t="shared" si="3"/>
        <v/>
      </c>
    </row>
    <row r="204" spans="2:12">
      <c r="B204" s="41" t="str">
        <f>IF(ISERROR(VLOOKUP($A204,通讯录!$A:$M,3,FALSE)&amp;""),"",VLOOKUP($A204,通讯录!$A:$M,3,FALSE)&amp;"")</f>
        <v/>
      </c>
      <c r="C204" s="41" t="str">
        <f>IF(ISERROR(VLOOKUP($A204,通讯录!$A:$M,7,FALSE)&amp;""),"",VLOOKUP($A204,通讯录!$A:$M,7,FALSE)&amp;"")</f>
        <v/>
      </c>
      <c r="D204" s="41" t="str">
        <f>IF(ISERROR(VLOOKUP($A204,通讯录!$A:$M,5,FALSE)&amp;""),"",VLOOKUP($A204,通讯录!$A:$M,5,FALSE)&amp;"")</f>
        <v/>
      </c>
      <c r="E204" s="41" t="str">
        <f>IF(ISERROR(VLOOKUP($A204,通讯录!$A:$M,6,FALSE)&amp;""),"",VLOOKUP($A204,通讯录!$A:$M,6,FALSE)&amp;"")</f>
        <v/>
      </c>
      <c r="F204" s="41" t="str">
        <f>IF(ISERROR(VLOOKUP($A204,通讯录!$A:$M,4,FALSE)&amp;""),"",VLOOKUP($A204,通讯录!$A:$M,4,FALSE)&amp;"")</f>
        <v/>
      </c>
      <c r="G204" s="41" t="str">
        <f>IF(ISERROR(VLOOKUP($A204,通讯录!$A:$M,8,FALSE)&amp;""),"",VLOOKUP($A204,通讯录!$A:$M,8,FALSE)&amp;"")</f>
        <v/>
      </c>
      <c r="H204" s="41"/>
      <c r="I204" s="41"/>
      <c r="J204" s="41"/>
      <c r="L204" s="29" t="str">
        <f t="shared" si="3"/>
        <v/>
      </c>
    </row>
    <row r="205" spans="2:12">
      <c r="B205" s="41" t="str">
        <f>IF(ISERROR(VLOOKUP($A205,通讯录!$A:$M,3,FALSE)&amp;""),"",VLOOKUP($A205,通讯录!$A:$M,3,FALSE)&amp;"")</f>
        <v/>
      </c>
      <c r="C205" s="41" t="str">
        <f>IF(ISERROR(VLOOKUP($A205,通讯录!$A:$M,7,FALSE)&amp;""),"",VLOOKUP($A205,通讯录!$A:$M,7,FALSE)&amp;"")</f>
        <v/>
      </c>
      <c r="D205" s="41" t="str">
        <f>IF(ISERROR(VLOOKUP($A205,通讯录!$A:$M,5,FALSE)&amp;""),"",VLOOKUP($A205,通讯录!$A:$M,5,FALSE)&amp;"")</f>
        <v/>
      </c>
      <c r="E205" s="41" t="str">
        <f>IF(ISERROR(VLOOKUP($A205,通讯录!$A:$M,6,FALSE)&amp;""),"",VLOOKUP($A205,通讯录!$A:$M,6,FALSE)&amp;"")</f>
        <v/>
      </c>
      <c r="F205" s="41" t="str">
        <f>IF(ISERROR(VLOOKUP($A205,通讯录!$A:$M,4,FALSE)&amp;""),"",VLOOKUP($A205,通讯录!$A:$M,4,FALSE)&amp;"")</f>
        <v/>
      </c>
      <c r="G205" s="41" t="str">
        <f>IF(ISERROR(VLOOKUP($A205,通讯录!$A:$M,8,FALSE)&amp;""),"",VLOOKUP($A205,通讯录!$A:$M,8,FALSE)&amp;"")</f>
        <v/>
      </c>
      <c r="H205" s="41"/>
      <c r="I205" s="41"/>
      <c r="J205" s="41"/>
      <c r="L205" s="29" t="str">
        <f t="shared" si="3"/>
        <v/>
      </c>
    </row>
    <row r="206" spans="2:12">
      <c r="B206" s="41" t="str">
        <f>IF(ISERROR(VLOOKUP($A206,通讯录!$A:$M,3,FALSE)&amp;""),"",VLOOKUP($A206,通讯录!$A:$M,3,FALSE)&amp;"")</f>
        <v/>
      </c>
      <c r="C206" s="41" t="str">
        <f>IF(ISERROR(VLOOKUP($A206,通讯录!$A:$M,7,FALSE)&amp;""),"",VLOOKUP($A206,通讯录!$A:$M,7,FALSE)&amp;"")</f>
        <v/>
      </c>
      <c r="D206" s="41" t="str">
        <f>IF(ISERROR(VLOOKUP($A206,通讯录!$A:$M,5,FALSE)&amp;""),"",VLOOKUP($A206,通讯录!$A:$M,5,FALSE)&amp;"")</f>
        <v/>
      </c>
      <c r="E206" s="41" t="str">
        <f>IF(ISERROR(VLOOKUP($A206,通讯录!$A:$M,6,FALSE)&amp;""),"",VLOOKUP($A206,通讯录!$A:$M,6,FALSE)&amp;"")</f>
        <v/>
      </c>
      <c r="F206" s="41" t="str">
        <f>IF(ISERROR(VLOOKUP($A206,通讯录!$A:$M,4,FALSE)&amp;""),"",VLOOKUP($A206,通讯录!$A:$M,4,FALSE)&amp;"")</f>
        <v/>
      </c>
      <c r="G206" s="41" t="str">
        <f>IF(ISERROR(VLOOKUP($A206,通讯录!$A:$M,8,FALSE)&amp;""),"",VLOOKUP($A206,通讯录!$A:$M,8,FALSE)&amp;"")</f>
        <v/>
      </c>
      <c r="H206" s="41"/>
      <c r="I206" s="41"/>
      <c r="J206" s="41"/>
      <c r="L206" s="29" t="str">
        <f t="shared" si="3"/>
        <v/>
      </c>
    </row>
    <row r="207" spans="2:12">
      <c r="B207" s="41" t="str">
        <f>IF(ISERROR(VLOOKUP($A207,通讯录!$A:$M,3,FALSE)&amp;""),"",VLOOKUP($A207,通讯录!$A:$M,3,FALSE)&amp;"")</f>
        <v/>
      </c>
      <c r="C207" s="41" t="str">
        <f>IF(ISERROR(VLOOKUP($A207,通讯录!$A:$M,7,FALSE)&amp;""),"",VLOOKUP($A207,通讯录!$A:$M,7,FALSE)&amp;"")</f>
        <v/>
      </c>
      <c r="D207" s="41" t="str">
        <f>IF(ISERROR(VLOOKUP($A207,通讯录!$A:$M,5,FALSE)&amp;""),"",VLOOKUP($A207,通讯录!$A:$M,5,FALSE)&amp;"")</f>
        <v/>
      </c>
      <c r="E207" s="41" t="str">
        <f>IF(ISERROR(VLOOKUP($A207,通讯录!$A:$M,6,FALSE)&amp;""),"",VLOOKUP($A207,通讯录!$A:$M,6,FALSE)&amp;"")</f>
        <v/>
      </c>
      <c r="F207" s="41" t="str">
        <f>IF(ISERROR(VLOOKUP($A207,通讯录!$A:$M,4,FALSE)&amp;""),"",VLOOKUP($A207,通讯录!$A:$M,4,FALSE)&amp;"")</f>
        <v/>
      </c>
      <c r="G207" s="41" t="str">
        <f>IF(ISERROR(VLOOKUP($A207,通讯录!$A:$M,8,FALSE)&amp;""),"",VLOOKUP($A207,通讯录!$A:$M,8,FALSE)&amp;"")</f>
        <v/>
      </c>
      <c r="H207" s="41"/>
      <c r="I207" s="41"/>
      <c r="J207" s="41"/>
      <c r="L207" s="29" t="str">
        <f t="shared" si="3"/>
        <v/>
      </c>
    </row>
    <row r="208" spans="2:12">
      <c r="B208" s="41" t="str">
        <f>IF(ISERROR(VLOOKUP($A208,通讯录!$A:$M,3,FALSE)&amp;""),"",VLOOKUP($A208,通讯录!$A:$M,3,FALSE)&amp;"")</f>
        <v/>
      </c>
      <c r="C208" s="41" t="str">
        <f>IF(ISERROR(VLOOKUP($A208,通讯录!$A:$M,7,FALSE)&amp;""),"",VLOOKUP($A208,通讯录!$A:$M,7,FALSE)&amp;"")</f>
        <v/>
      </c>
      <c r="D208" s="41" t="str">
        <f>IF(ISERROR(VLOOKUP($A208,通讯录!$A:$M,5,FALSE)&amp;""),"",VLOOKUP($A208,通讯录!$A:$M,5,FALSE)&amp;"")</f>
        <v/>
      </c>
      <c r="E208" s="41" t="str">
        <f>IF(ISERROR(VLOOKUP($A208,通讯录!$A:$M,6,FALSE)&amp;""),"",VLOOKUP($A208,通讯录!$A:$M,6,FALSE)&amp;"")</f>
        <v/>
      </c>
      <c r="F208" s="41" t="str">
        <f>IF(ISERROR(VLOOKUP($A208,通讯录!$A:$M,4,FALSE)&amp;""),"",VLOOKUP($A208,通讯录!$A:$M,4,FALSE)&amp;"")</f>
        <v/>
      </c>
      <c r="G208" s="41" t="str">
        <f>IF(ISERROR(VLOOKUP($A208,通讯录!$A:$M,8,FALSE)&amp;""),"",VLOOKUP($A208,通讯录!$A:$M,8,FALSE)&amp;"")</f>
        <v/>
      </c>
      <c r="H208" s="41"/>
      <c r="I208" s="41"/>
      <c r="J208" s="41"/>
      <c r="L208" s="29" t="str">
        <f t="shared" si="3"/>
        <v/>
      </c>
    </row>
    <row r="209" spans="2:12">
      <c r="B209" s="41" t="str">
        <f>IF(ISERROR(VLOOKUP($A209,通讯录!$A:$M,3,FALSE)&amp;""),"",VLOOKUP($A209,通讯录!$A:$M,3,FALSE)&amp;"")</f>
        <v/>
      </c>
      <c r="C209" s="41" t="str">
        <f>IF(ISERROR(VLOOKUP($A209,通讯录!$A:$M,7,FALSE)&amp;""),"",VLOOKUP($A209,通讯录!$A:$M,7,FALSE)&amp;"")</f>
        <v/>
      </c>
      <c r="D209" s="41" t="str">
        <f>IF(ISERROR(VLOOKUP($A209,通讯录!$A:$M,5,FALSE)&amp;""),"",VLOOKUP($A209,通讯录!$A:$M,5,FALSE)&amp;"")</f>
        <v/>
      </c>
      <c r="E209" s="41" t="str">
        <f>IF(ISERROR(VLOOKUP($A209,通讯录!$A:$M,6,FALSE)&amp;""),"",VLOOKUP($A209,通讯录!$A:$M,6,FALSE)&amp;"")</f>
        <v/>
      </c>
      <c r="F209" s="41" t="str">
        <f>IF(ISERROR(VLOOKUP($A209,通讯录!$A:$M,4,FALSE)&amp;""),"",VLOOKUP($A209,通讯录!$A:$M,4,FALSE)&amp;"")</f>
        <v/>
      </c>
      <c r="G209" s="41" t="str">
        <f>IF(ISERROR(VLOOKUP($A209,通讯录!$A:$M,8,FALSE)&amp;""),"",VLOOKUP($A209,通讯录!$A:$M,8,FALSE)&amp;"")</f>
        <v/>
      </c>
      <c r="H209" s="41"/>
      <c r="I209" s="41"/>
      <c r="J209" s="41"/>
      <c r="L209" s="29" t="str">
        <f t="shared" si="3"/>
        <v/>
      </c>
    </row>
    <row r="210" spans="2:12">
      <c r="B210" s="41" t="str">
        <f>IF(ISERROR(VLOOKUP($A210,通讯录!$A:$M,3,FALSE)&amp;""),"",VLOOKUP($A210,通讯录!$A:$M,3,FALSE)&amp;"")</f>
        <v/>
      </c>
      <c r="C210" s="41" t="str">
        <f>IF(ISERROR(VLOOKUP($A210,通讯录!$A:$M,7,FALSE)&amp;""),"",VLOOKUP($A210,通讯录!$A:$M,7,FALSE)&amp;"")</f>
        <v/>
      </c>
      <c r="D210" s="41" t="str">
        <f>IF(ISERROR(VLOOKUP($A210,通讯录!$A:$M,5,FALSE)&amp;""),"",VLOOKUP($A210,通讯录!$A:$M,5,FALSE)&amp;"")</f>
        <v/>
      </c>
      <c r="E210" s="41" t="str">
        <f>IF(ISERROR(VLOOKUP($A210,通讯录!$A:$M,6,FALSE)&amp;""),"",VLOOKUP($A210,通讯录!$A:$M,6,FALSE)&amp;"")</f>
        <v/>
      </c>
      <c r="F210" s="41" t="str">
        <f>IF(ISERROR(VLOOKUP($A210,通讯录!$A:$M,4,FALSE)&amp;""),"",VLOOKUP($A210,通讯录!$A:$M,4,FALSE)&amp;"")</f>
        <v/>
      </c>
      <c r="G210" s="41" t="str">
        <f>IF(ISERROR(VLOOKUP($A210,通讯录!$A:$M,8,FALSE)&amp;""),"",VLOOKUP($A210,通讯录!$A:$M,8,FALSE)&amp;"")</f>
        <v/>
      </c>
      <c r="H210" s="41"/>
      <c r="I210" s="41"/>
      <c r="J210" s="41"/>
      <c r="L210" s="29" t="str">
        <f t="shared" si="3"/>
        <v/>
      </c>
    </row>
    <row r="211" spans="2:12">
      <c r="B211" s="41" t="str">
        <f>IF(ISERROR(VLOOKUP($A211,通讯录!$A:$M,3,FALSE)&amp;""),"",VLOOKUP($A211,通讯录!$A:$M,3,FALSE)&amp;"")</f>
        <v/>
      </c>
      <c r="C211" s="41" t="str">
        <f>IF(ISERROR(VLOOKUP($A211,通讯录!$A:$M,7,FALSE)&amp;""),"",VLOOKUP($A211,通讯录!$A:$M,7,FALSE)&amp;"")</f>
        <v/>
      </c>
      <c r="D211" s="41" t="str">
        <f>IF(ISERROR(VLOOKUP($A211,通讯录!$A:$M,5,FALSE)&amp;""),"",VLOOKUP($A211,通讯录!$A:$M,5,FALSE)&amp;"")</f>
        <v/>
      </c>
      <c r="E211" s="41" t="str">
        <f>IF(ISERROR(VLOOKUP($A211,通讯录!$A:$M,6,FALSE)&amp;""),"",VLOOKUP($A211,通讯录!$A:$M,6,FALSE)&amp;"")</f>
        <v/>
      </c>
      <c r="F211" s="41" t="str">
        <f>IF(ISERROR(VLOOKUP($A211,通讯录!$A:$M,4,FALSE)&amp;""),"",VLOOKUP($A211,通讯录!$A:$M,4,FALSE)&amp;"")</f>
        <v/>
      </c>
      <c r="G211" s="41" t="str">
        <f>IF(ISERROR(VLOOKUP($A211,通讯录!$A:$M,8,FALSE)&amp;""),"",VLOOKUP($A211,通讯录!$A:$M,8,FALSE)&amp;"")</f>
        <v/>
      </c>
      <c r="H211" s="41"/>
      <c r="I211" s="41"/>
      <c r="J211" s="41"/>
      <c r="L211" s="29" t="str">
        <f t="shared" si="3"/>
        <v/>
      </c>
    </row>
    <row r="212" spans="2:12">
      <c r="B212" s="41" t="str">
        <f>IF(ISERROR(VLOOKUP($A212,通讯录!$A:$M,3,FALSE)&amp;""),"",VLOOKUP($A212,通讯录!$A:$M,3,FALSE)&amp;"")</f>
        <v/>
      </c>
      <c r="C212" s="41" t="str">
        <f>IF(ISERROR(VLOOKUP($A212,通讯录!$A:$M,7,FALSE)&amp;""),"",VLOOKUP($A212,通讯录!$A:$M,7,FALSE)&amp;"")</f>
        <v/>
      </c>
      <c r="D212" s="41" t="str">
        <f>IF(ISERROR(VLOOKUP($A212,通讯录!$A:$M,5,FALSE)&amp;""),"",VLOOKUP($A212,通讯录!$A:$M,5,FALSE)&amp;"")</f>
        <v/>
      </c>
      <c r="E212" s="41" t="str">
        <f>IF(ISERROR(VLOOKUP($A212,通讯录!$A:$M,6,FALSE)&amp;""),"",VLOOKUP($A212,通讯录!$A:$M,6,FALSE)&amp;"")</f>
        <v/>
      </c>
      <c r="F212" s="41" t="str">
        <f>IF(ISERROR(VLOOKUP($A212,通讯录!$A:$M,4,FALSE)&amp;""),"",VLOOKUP($A212,通讯录!$A:$M,4,FALSE)&amp;"")</f>
        <v/>
      </c>
      <c r="G212" s="41" t="str">
        <f>IF(ISERROR(VLOOKUP($A212,通讯录!$A:$M,8,FALSE)&amp;""),"",VLOOKUP($A212,通讯录!$A:$M,8,FALSE)&amp;"")</f>
        <v/>
      </c>
      <c r="H212" s="41"/>
      <c r="I212" s="41"/>
      <c r="J212" s="41"/>
      <c r="L212" s="29" t="str">
        <f t="shared" si="3"/>
        <v/>
      </c>
    </row>
    <row r="213" spans="2:12">
      <c r="B213" s="41" t="str">
        <f>IF(ISERROR(VLOOKUP($A213,通讯录!$A:$M,3,FALSE)&amp;""),"",VLOOKUP($A213,通讯录!$A:$M,3,FALSE)&amp;"")</f>
        <v/>
      </c>
      <c r="C213" s="41" t="str">
        <f>IF(ISERROR(VLOOKUP($A213,通讯录!$A:$M,7,FALSE)&amp;""),"",VLOOKUP($A213,通讯录!$A:$M,7,FALSE)&amp;"")</f>
        <v/>
      </c>
      <c r="D213" s="41" t="str">
        <f>IF(ISERROR(VLOOKUP($A213,通讯录!$A:$M,5,FALSE)&amp;""),"",VLOOKUP($A213,通讯录!$A:$M,5,FALSE)&amp;"")</f>
        <v/>
      </c>
      <c r="E213" s="41" t="str">
        <f>IF(ISERROR(VLOOKUP($A213,通讯录!$A:$M,6,FALSE)&amp;""),"",VLOOKUP($A213,通讯录!$A:$M,6,FALSE)&amp;"")</f>
        <v/>
      </c>
      <c r="F213" s="41" t="str">
        <f>IF(ISERROR(VLOOKUP($A213,通讯录!$A:$M,4,FALSE)&amp;""),"",VLOOKUP($A213,通讯录!$A:$M,4,FALSE)&amp;"")</f>
        <v/>
      </c>
      <c r="G213" s="41" t="str">
        <f>IF(ISERROR(VLOOKUP($A213,通讯录!$A:$M,8,FALSE)&amp;""),"",VLOOKUP($A213,通讯录!$A:$M,8,FALSE)&amp;"")</f>
        <v/>
      </c>
      <c r="H213" s="41"/>
      <c r="I213" s="41"/>
      <c r="J213" s="41"/>
      <c r="L213" s="29" t="str">
        <f t="shared" si="3"/>
        <v/>
      </c>
    </row>
    <row r="214" spans="2:12">
      <c r="B214" s="41" t="str">
        <f>IF(ISERROR(VLOOKUP($A214,通讯录!$A:$M,3,FALSE)&amp;""),"",VLOOKUP($A214,通讯录!$A:$M,3,FALSE)&amp;"")</f>
        <v/>
      </c>
      <c r="C214" s="41" t="str">
        <f>IF(ISERROR(VLOOKUP($A214,通讯录!$A:$M,7,FALSE)&amp;""),"",VLOOKUP($A214,通讯录!$A:$M,7,FALSE)&amp;"")</f>
        <v/>
      </c>
      <c r="D214" s="41" t="str">
        <f>IF(ISERROR(VLOOKUP($A214,通讯录!$A:$M,5,FALSE)&amp;""),"",VLOOKUP($A214,通讯录!$A:$M,5,FALSE)&amp;"")</f>
        <v/>
      </c>
      <c r="E214" s="41" t="str">
        <f>IF(ISERROR(VLOOKUP($A214,通讯录!$A:$M,6,FALSE)&amp;""),"",VLOOKUP($A214,通讯录!$A:$M,6,FALSE)&amp;"")</f>
        <v/>
      </c>
      <c r="F214" s="41" t="str">
        <f>IF(ISERROR(VLOOKUP($A214,通讯录!$A:$M,4,FALSE)&amp;""),"",VLOOKUP($A214,通讯录!$A:$M,4,FALSE)&amp;"")</f>
        <v/>
      </c>
      <c r="G214" s="41" t="str">
        <f>IF(ISERROR(VLOOKUP($A214,通讯录!$A:$M,8,FALSE)&amp;""),"",VLOOKUP($A214,通讯录!$A:$M,8,FALSE)&amp;"")</f>
        <v/>
      </c>
      <c r="H214" s="41"/>
      <c r="I214" s="41"/>
      <c r="J214" s="41"/>
      <c r="L214" s="29" t="str">
        <f t="shared" si="3"/>
        <v/>
      </c>
    </row>
    <row r="215" spans="2:12">
      <c r="B215" s="41" t="str">
        <f>IF(ISERROR(VLOOKUP($A215,通讯录!$A:$M,3,FALSE)&amp;""),"",VLOOKUP($A215,通讯录!$A:$M,3,FALSE)&amp;"")</f>
        <v/>
      </c>
      <c r="C215" s="41" t="str">
        <f>IF(ISERROR(VLOOKUP($A215,通讯录!$A:$M,7,FALSE)&amp;""),"",VLOOKUP($A215,通讯录!$A:$M,7,FALSE)&amp;"")</f>
        <v/>
      </c>
      <c r="D215" s="41" t="str">
        <f>IF(ISERROR(VLOOKUP($A215,通讯录!$A:$M,5,FALSE)&amp;""),"",VLOOKUP($A215,通讯录!$A:$M,5,FALSE)&amp;"")</f>
        <v/>
      </c>
      <c r="E215" s="41" t="str">
        <f>IF(ISERROR(VLOOKUP($A215,通讯录!$A:$M,6,FALSE)&amp;""),"",VLOOKUP($A215,通讯录!$A:$M,6,FALSE)&amp;"")</f>
        <v/>
      </c>
      <c r="F215" s="41" t="str">
        <f>IF(ISERROR(VLOOKUP($A215,通讯录!$A:$M,4,FALSE)&amp;""),"",VLOOKUP($A215,通讯录!$A:$M,4,FALSE)&amp;"")</f>
        <v/>
      </c>
      <c r="G215" s="41" t="str">
        <f>IF(ISERROR(VLOOKUP($A215,通讯录!$A:$M,8,FALSE)&amp;""),"",VLOOKUP($A215,通讯录!$A:$M,8,FALSE)&amp;"")</f>
        <v/>
      </c>
      <c r="H215" s="41"/>
      <c r="I215" s="41"/>
      <c r="J215" s="41"/>
      <c r="L215" s="29" t="str">
        <f t="shared" si="3"/>
        <v/>
      </c>
    </row>
    <row r="216" spans="2:12">
      <c r="B216" s="41" t="str">
        <f>IF(ISERROR(VLOOKUP($A216,通讯录!$A:$M,3,FALSE)&amp;""),"",VLOOKUP($A216,通讯录!$A:$M,3,FALSE)&amp;"")</f>
        <v/>
      </c>
      <c r="C216" s="41" t="str">
        <f>IF(ISERROR(VLOOKUP($A216,通讯录!$A:$M,7,FALSE)&amp;""),"",VLOOKUP($A216,通讯录!$A:$M,7,FALSE)&amp;"")</f>
        <v/>
      </c>
      <c r="D216" s="41" t="str">
        <f>IF(ISERROR(VLOOKUP($A216,通讯录!$A:$M,5,FALSE)&amp;""),"",VLOOKUP($A216,通讯录!$A:$M,5,FALSE)&amp;"")</f>
        <v/>
      </c>
      <c r="E216" s="41" t="str">
        <f>IF(ISERROR(VLOOKUP($A216,通讯录!$A:$M,6,FALSE)&amp;""),"",VLOOKUP($A216,通讯录!$A:$M,6,FALSE)&amp;"")</f>
        <v/>
      </c>
      <c r="F216" s="41" t="str">
        <f>IF(ISERROR(VLOOKUP($A216,通讯录!$A:$M,4,FALSE)&amp;""),"",VLOOKUP($A216,通讯录!$A:$M,4,FALSE)&amp;"")</f>
        <v/>
      </c>
      <c r="G216" s="41" t="str">
        <f>IF(ISERROR(VLOOKUP($A216,通讯录!$A:$M,8,FALSE)&amp;""),"",VLOOKUP($A216,通讯录!$A:$M,8,FALSE)&amp;"")</f>
        <v/>
      </c>
      <c r="H216" s="41"/>
      <c r="I216" s="41"/>
      <c r="J216" s="41"/>
      <c r="L216" s="29" t="str">
        <f t="shared" si="3"/>
        <v/>
      </c>
    </row>
    <row r="217" spans="2:12">
      <c r="B217" s="41" t="str">
        <f>IF(ISERROR(VLOOKUP($A217,通讯录!$A:$M,3,FALSE)&amp;""),"",VLOOKUP($A217,通讯录!$A:$M,3,FALSE)&amp;"")</f>
        <v/>
      </c>
      <c r="C217" s="41" t="str">
        <f>IF(ISERROR(VLOOKUP($A217,通讯录!$A:$M,7,FALSE)&amp;""),"",VLOOKUP($A217,通讯录!$A:$M,7,FALSE)&amp;"")</f>
        <v/>
      </c>
      <c r="D217" s="41" t="str">
        <f>IF(ISERROR(VLOOKUP($A217,通讯录!$A:$M,5,FALSE)&amp;""),"",VLOOKUP($A217,通讯录!$A:$M,5,FALSE)&amp;"")</f>
        <v/>
      </c>
      <c r="E217" s="41" t="str">
        <f>IF(ISERROR(VLOOKUP($A217,通讯录!$A:$M,6,FALSE)&amp;""),"",VLOOKUP($A217,通讯录!$A:$M,6,FALSE)&amp;"")</f>
        <v/>
      </c>
      <c r="F217" s="41" t="str">
        <f>IF(ISERROR(VLOOKUP($A217,通讯录!$A:$M,4,FALSE)&amp;""),"",VLOOKUP($A217,通讯录!$A:$M,4,FALSE)&amp;"")</f>
        <v/>
      </c>
      <c r="G217" s="41" t="str">
        <f>IF(ISERROR(VLOOKUP($A217,通讯录!$A:$M,8,FALSE)&amp;""),"",VLOOKUP($A217,通讯录!$A:$M,8,FALSE)&amp;"")</f>
        <v/>
      </c>
      <c r="H217" s="41"/>
      <c r="I217" s="41"/>
      <c r="J217" s="41"/>
      <c r="L217" s="29" t="str">
        <f t="shared" si="3"/>
        <v/>
      </c>
    </row>
    <row r="218" spans="2:12">
      <c r="B218" s="41" t="str">
        <f>IF(ISERROR(VLOOKUP($A218,通讯录!$A:$M,3,FALSE)&amp;""),"",VLOOKUP($A218,通讯录!$A:$M,3,FALSE)&amp;"")</f>
        <v/>
      </c>
      <c r="C218" s="41" t="str">
        <f>IF(ISERROR(VLOOKUP($A218,通讯录!$A:$M,7,FALSE)&amp;""),"",VLOOKUP($A218,通讯录!$A:$M,7,FALSE)&amp;"")</f>
        <v/>
      </c>
      <c r="D218" s="41" t="str">
        <f>IF(ISERROR(VLOOKUP($A218,通讯录!$A:$M,5,FALSE)&amp;""),"",VLOOKUP($A218,通讯录!$A:$M,5,FALSE)&amp;"")</f>
        <v/>
      </c>
      <c r="E218" s="41" t="str">
        <f>IF(ISERROR(VLOOKUP($A218,通讯录!$A:$M,6,FALSE)&amp;""),"",VLOOKUP($A218,通讯录!$A:$M,6,FALSE)&amp;"")</f>
        <v/>
      </c>
      <c r="F218" s="41" t="str">
        <f>IF(ISERROR(VLOOKUP($A218,通讯录!$A:$M,4,FALSE)&amp;""),"",VLOOKUP($A218,通讯录!$A:$M,4,FALSE)&amp;"")</f>
        <v/>
      </c>
      <c r="G218" s="41" t="str">
        <f>IF(ISERROR(VLOOKUP($A218,通讯录!$A:$M,8,FALSE)&amp;""),"",VLOOKUP($A218,通讯录!$A:$M,8,FALSE)&amp;"")</f>
        <v/>
      </c>
      <c r="H218" s="41"/>
      <c r="I218" s="41"/>
      <c r="J218" s="41"/>
      <c r="L218" s="29" t="str">
        <f t="shared" si="3"/>
        <v/>
      </c>
    </row>
    <row r="219" spans="2:12">
      <c r="B219" s="41" t="str">
        <f>IF(ISERROR(VLOOKUP($A219,通讯录!$A:$M,3,FALSE)&amp;""),"",VLOOKUP($A219,通讯录!$A:$M,3,FALSE)&amp;"")</f>
        <v/>
      </c>
      <c r="C219" s="41" t="str">
        <f>IF(ISERROR(VLOOKUP($A219,通讯录!$A:$M,7,FALSE)&amp;""),"",VLOOKUP($A219,通讯录!$A:$M,7,FALSE)&amp;"")</f>
        <v/>
      </c>
      <c r="D219" s="41" t="str">
        <f>IF(ISERROR(VLOOKUP($A219,通讯录!$A:$M,5,FALSE)&amp;""),"",VLOOKUP($A219,通讯录!$A:$M,5,FALSE)&amp;"")</f>
        <v/>
      </c>
      <c r="E219" s="41" t="str">
        <f>IF(ISERROR(VLOOKUP($A219,通讯录!$A:$M,6,FALSE)&amp;""),"",VLOOKUP($A219,通讯录!$A:$M,6,FALSE)&amp;"")</f>
        <v/>
      </c>
      <c r="F219" s="41" t="str">
        <f>IF(ISERROR(VLOOKUP($A219,通讯录!$A:$M,4,FALSE)&amp;""),"",VLOOKUP($A219,通讯录!$A:$M,4,FALSE)&amp;"")</f>
        <v/>
      </c>
      <c r="G219" s="41" t="str">
        <f>IF(ISERROR(VLOOKUP($A219,通讯录!$A:$M,8,FALSE)&amp;""),"",VLOOKUP($A219,通讯录!$A:$M,8,FALSE)&amp;"")</f>
        <v/>
      </c>
      <c r="H219" s="41"/>
      <c r="I219" s="41"/>
      <c r="J219" s="41"/>
      <c r="L219" s="29" t="str">
        <f t="shared" si="3"/>
        <v/>
      </c>
    </row>
    <row r="220" spans="2:12">
      <c r="B220" s="41" t="str">
        <f>IF(ISERROR(VLOOKUP($A220,通讯录!$A:$M,3,FALSE)&amp;""),"",VLOOKUP($A220,通讯录!$A:$M,3,FALSE)&amp;"")</f>
        <v/>
      </c>
      <c r="C220" s="41" t="str">
        <f>IF(ISERROR(VLOOKUP($A220,通讯录!$A:$M,7,FALSE)&amp;""),"",VLOOKUP($A220,通讯录!$A:$M,7,FALSE)&amp;"")</f>
        <v/>
      </c>
      <c r="D220" s="41" t="str">
        <f>IF(ISERROR(VLOOKUP($A220,通讯录!$A:$M,5,FALSE)&amp;""),"",VLOOKUP($A220,通讯录!$A:$M,5,FALSE)&amp;"")</f>
        <v/>
      </c>
      <c r="E220" s="41" t="str">
        <f>IF(ISERROR(VLOOKUP($A220,通讯录!$A:$M,6,FALSE)&amp;""),"",VLOOKUP($A220,通讯录!$A:$M,6,FALSE)&amp;"")</f>
        <v/>
      </c>
      <c r="F220" s="41" t="str">
        <f>IF(ISERROR(VLOOKUP($A220,通讯录!$A:$M,4,FALSE)&amp;""),"",VLOOKUP($A220,通讯录!$A:$M,4,FALSE)&amp;"")</f>
        <v/>
      </c>
      <c r="G220" s="41" t="str">
        <f>IF(ISERROR(VLOOKUP($A220,通讯录!$A:$M,8,FALSE)&amp;""),"",VLOOKUP($A220,通讯录!$A:$M,8,FALSE)&amp;"")</f>
        <v/>
      </c>
      <c r="H220" s="41"/>
      <c r="I220" s="41"/>
      <c r="J220" s="41"/>
      <c r="L220" s="29" t="str">
        <f t="shared" si="3"/>
        <v/>
      </c>
    </row>
    <row r="221" spans="2:12">
      <c r="B221" s="41" t="str">
        <f>IF(ISERROR(VLOOKUP($A221,通讯录!$A:$M,3,FALSE)&amp;""),"",VLOOKUP($A221,通讯录!$A:$M,3,FALSE)&amp;"")</f>
        <v/>
      </c>
      <c r="C221" s="41" t="str">
        <f>IF(ISERROR(VLOOKUP($A221,通讯录!$A:$M,7,FALSE)&amp;""),"",VLOOKUP($A221,通讯录!$A:$M,7,FALSE)&amp;"")</f>
        <v/>
      </c>
      <c r="D221" s="41" t="str">
        <f>IF(ISERROR(VLOOKUP($A221,通讯录!$A:$M,5,FALSE)&amp;""),"",VLOOKUP($A221,通讯录!$A:$M,5,FALSE)&amp;"")</f>
        <v/>
      </c>
      <c r="E221" s="41" t="str">
        <f>IF(ISERROR(VLOOKUP($A221,通讯录!$A:$M,6,FALSE)&amp;""),"",VLOOKUP($A221,通讯录!$A:$M,6,FALSE)&amp;"")</f>
        <v/>
      </c>
      <c r="F221" s="41" t="str">
        <f>IF(ISERROR(VLOOKUP($A221,通讯录!$A:$M,4,FALSE)&amp;""),"",VLOOKUP($A221,通讯录!$A:$M,4,FALSE)&amp;"")</f>
        <v/>
      </c>
      <c r="G221" s="41" t="str">
        <f>IF(ISERROR(VLOOKUP($A221,通讯录!$A:$M,8,FALSE)&amp;""),"",VLOOKUP($A221,通讯录!$A:$M,8,FALSE)&amp;"")</f>
        <v/>
      </c>
      <c r="H221" s="41"/>
      <c r="I221" s="41"/>
      <c r="J221" s="41"/>
      <c r="L221" s="29" t="str">
        <f t="shared" si="3"/>
        <v/>
      </c>
    </row>
    <row r="222" spans="2:12">
      <c r="B222" s="41" t="str">
        <f>IF(ISERROR(VLOOKUP($A222,通讯录!$A:$M,3,FALSE)&amp;""),"",VLOOKUP($A222,通讯录!$A:$M,3,FALSE)&amp;"")</f>
        <v/>
      </c>
      <c r="C222" s="41" t="str">
        <f>IF(ISERROR(VLOOKUP($A222,通讯录!$A:$M,7,FALSE)&amp;""),"",VLOOKUP($A222,通讯录!$A:$M,7,FALSE)&amp;"")</f>
        <v/>
      </c>
      <c r="D222" s="41" t="str">
        <f>IF(ISERROR(VLOOKUP($A222,通讯录!$A:$M,5,FALSE)&amp;""),"",VLOOKUP($A222,通讯录!$A:$M,5,FALSE)&amp;"")</f>
        <v/>
      </c>
      <c r="E222" s="41" t="str">
        <f>IF(ISERROR(VLOOKUP($A222,通讯录!$A:$M,6,FALSE)&amp;""),"",VLOOKUP($A222,通讯录!$A:$M,6,FALSE)&amp;"")</f>
        <v/>
      </c>
      <c r="F222" s="41" t="str">
        <f>IF(ISERROR(VLOOKUP($A222,通讯录!$A:$M,4,FALSE)&amp;""),"",VLOOKUP($A222,通讯录!$A:$M,4,FALSE)&amp;"")</f>
        <v/>
      </c>
      <c r="G222" s="41" t="str">
        <f>IF(ISERROR(VLOOKUP($A222,通讯录!$A:$M,8,FALSE)&amp;""),"",VLOOKUP($A222,通讯录!$A:$M,8,FALSE)&amp;"")</f>
        <v/>
      </c>
      <c r="H222" s="41"/>
      <c r="I222" s="41"/>
      <c r="J222" s="41"/>
      <c r="L222" s="29" t="str">
        <f t="shared" si="3"/>
        <v/>
      </c>
    </row>
    <row r="223" spans="2:12">
      <c r="B223" s="41" t="str">
        <f>IF(ISERROR(VLOOKUP($A223,通讯录!$A:$M,3,FALSE)&amp;""),"",VLOOKUP($A223,通讯录!$A:$M,3,FALSE)&amp;"")</f>
        <v/>
      </c>
      <c r="C223" s="41" t="str">
        <f>IF(ISERROR(VLOOKUP($A223,通讯录!$A:$M,7,FALSE)&amp;""),"",VLOOKUP($A223,通讯录!$A:$M,7,FALSE)&amp;"")</f>
        <v/>
      </c>
      <c r="D223" s="41" t="str">
        <f>IF(ISERROR(VLOOKUP($A223,通讯录!$A:$M,5,FALSE)&amp;""),"",VLOOKUP($A223,通讯录!$A:$M,5,FALSE)&amp;"")</f>
        <v/>
      </c>
      <c r="E223" s="41" t="str">
        <f>IF(ISERROR(VLOOKUP($A223,通讯录!$A:$M,6,FALSE)&amp;""),"",VLOOKUP($A223,通讯录!$A:$M,6,FALSE)&amp;"")</f>
        <v/>
      </c>
      <c r="F223" s="41" t="str">
        <f>IF(ISERROR(VLOOKUP($A223,通讯录!$A:$M,4,FALSE)&amp;""),"",VLOOKUP($A223,通讯录!$A:$M,4,FALSE)&amp;"")</f>
        <v/>
      </c>
      <c r="G223" s="41" t="str">
        <f>IF(ISERROR(VLOOKUP($A223,通讯录!$A:$M,8,FALSE)&amp;""),"",VLOOKUP($A223,通讯录!$A:$M,8,FALSE)&amp;"")</f>
        <v/>
      </c>
      <c r="H223" s="41"/>
      <c r="I223" s="41"/>
      <c r="J223" s="41"/>
      <c r="L223" s="29" t="str">
        <f t="shared" si="3"/>
        <v/>
      </c>
    </row>
    <row r="224" spans="2:12">
      <c r="B224" s="41" t="str">
        <f>IF(ISERROR(VLOOKUP($A224,通讯录!$A:$M,3,FALSE)&amp;""),"",VLOOKUP($A224,通讯录!$A:$M,3,FALSE)&amp;"")</f>
        <v/>
      </c>
      <c r="C224" s="41" t="str">
        <f>IF(ISERROR(VLOOKUP($A224,通讯录!$A:$M,7,FALSE)&amp;""),"",VLOOKUP($A224,通讯录!$A:$M,7,FALSE)&amp;"")</f>
        <v/>
      </c>
      <c r="D224" s="41" t="str">
        <f>IF(ISERROR(VLOOKUP($A224,通讯录!$A:$M,5,FALSE)&amp;""),"",VLOOKUP($A224,通讯录!$A:$M,5,FALSE)&amp;"")</f>
        <v/>
      </c>
      <c r="E224" s="41" t="str">
        <f>IF(ISERROR(VLOOKUP($A224,通讯录!$A:$M,6,FALSE)&amp;""),"",VLOOKUP($A224,通讯录!$A:$M,6,FALSE)&amp;"")</f>
        <v/>
      </c>
      <c r="F224" s="41" t="str">
        <f>IF(ISERROR(VLOOKUP($A224,通讯录!$A:$M,4,FALSE)&amp;""),"",VLOOKUP($A224,通讯录!$A:$M,4,FALSE)&amp;"")</f>
        <v/>
      </c>
      <c r="G224" s="41" t="str">
        <f>IF(ISERROR(VLOOKUP($A224,通讯录!$A:$M,8,FALSE)&amp;""),"",VLOOKUP($A224,通讯录!$A:$M,8,FALSE)&amp;"")</f>
        <v/>
      </c>
      <c r="H224" s="41"/>
      <c r="I224" s="41"/>
      <c r="J224" s="41"/>
      <c r="L224" s="29" t="str">
        <f t="shared" si="3"/>
        <v/>
      </c>
    </row>
    <row r="225" spans="2:12">
      <c r="B225" s="41" t="str">
        <f>IF(ISERROR(VLOOKUP($A225,通讯录!$A:$M,3,FALSE)&amp;""),"",VLOOKUP($A225,通讯录!$A:$M,3,FALSE)&amp;"")</f>
        <v/>
      </c>
      <c r="C225" s="41" t="str">
        <f>IF(ISERROR(VLOOKUP($A225,通讯录!$A:$M,7,FALSE)&amp;""),"",VLOOKUP($A225,通讯录!$A:$M,7,FALSE)&amp;"")</f>
        <v/>
      </c>
      <c r="D225" s="41" t="str">
        <f>IF(ISERROR(VLOOKUP($A225,通讯录!$A:$M,5,FALSE)&amp;""),"",VLOOKUP($A225,通讯录!$A:$M,5,FALSE)&amp;"")</f>
        <v/>
      </c>
      <c r="E225" s="41" t="str">
        <f>IF(ISERROR(VLOOKUP($A225,通讯录!$A:$M,6,FALSE)&amp;""),"",VLOOKUP($A225,通讯录!$A:$M,6,FALSE)&amp;"")</f>
        <v/>
      </c>
      <c r="F225" s="41" t="str">
        <f>IF(ISERROR(VLOOKUP($A225,通讯录!$A:$M,4,FALSE)&amp;""),"",VLOOKUP($A225,通讯录!$A:$M,4,FALSE)&amp;"")</f>
        <v/>
      </c>
      <c r="G225" s="41" t="str">
        <f>IF(ISERROR(VLOOKUP($A225,通讯录!$A:$M,8,FALSE)&amp;""),"",VLOOKUP($A225,通讯录!$A:$M,8,FALSE)&amp;"")</f>
        <v/>
      </c>
      <c r="H225" s="41"/>
      <c r="I225" s="41"/>
      <c r="J225" s="41"/>
      <c r="L225" s="29" t="str">
        <f t="shared" si="3"/>
        <v/>
      </c>
    </row>
    <row r="226" spans="2:12">
      <c r="B226" s="41" t="str">
        <f>IF(ISERROR(VLOOKUP($A226,通讯录!$A:$M,3,FALSE)&amp;""),"",VLOOKUP($A226,通讯录!$A:$M,3,FALSE)&amp;"")</f>
        <v/>
      </c>
      <c r="C226" s="41" t="str">
        <f>IF(ISERROR(VLOOKUP($A226,通讯录!$A:$M,7,FALSE)&amp;""),"",VLOOKUP($A226,通讯录!$A:$M,7,FALSE)&amp;"")</f>
        <v/>
      </c>
      <c r="D226" s="41" t="str">
        <f>IF(ISERROR(VLOOKUP($A226,通讯录!$A:$M,5,FALSE)&amp;""),"",VLOOKUP($A226,通讯录!$A:$M,5,FALSE)&amp;"")</f>
        <v/>
      </c>
      <c r="E226" s="41" t="str">
        <f>IF(ISERROR(VLOOKUP($A226,通讯录!$A:$M,6,FALSE)&amp;""),"",VLOOKUP($A226,通讯录!$A:$M,6,FALSE)&amp;"")</f>
        <v/>
      </c>
      <c r="F226" s="41" t="str">
        <f>IF(ISERROR(VLOOKUP($A226,通讯录!$A:$M,4,FALSE)&amp;""),"",VLOOKUP($A226,通讯录!$A:$M,4,FALSE)&amp;"")</f>
        <v/>
      </c>
      <c r="G226" s="41" t="str">
        <f>IF(ISERROR(VLOOKUP($A226,通讯录!$A:$M,8,FALSE)&amp;""),"",VLOOKUP($A226,通讯录!$A:$M,8,FALSE)&amp;"")</f>
        <v/>
      </c>
      <c r="H226" s="41"/>
      <c r="I226" s="41"/>
      <c r="J226" s="41"/>
      <c r="L226" s="29" t="str">
        <f t="shared" ref="L226:L289" si="4">LEFT(A226,1)</f>
        <v/>
      </c>
    </row>
    <row r="227" spans="2:12">
      <c r="B227" s="41" t="str">
        <f>IF(ISERROR(VLOOKUP($A227,通讯录!$A:$M,3,FALSE)&amp;""),"",VLOOKUP($A227,通讯录!$A:$M,3,FALSE)&amp;"")</f>
        <v/>
      </c>
      <c r="C227" s="41" t="str">
        <f>IF(ISERROR(VLOOKUP($A227,通讯录!$A:$M,7,FALSE)&amp;""),"",VLOOKUP($A227,通讯录!$A:$M,7,FALSE)&amp;"")</f>
        <v/>
      </c>
      <c r="D227" s="41" t="str">
        <f>IF(ISERROR(VLOOKUP($A227,通讯录!$A:$M,5,FALSE)&amp;""),"",VLOOKUP($A227,通讯录!$A:$M,5,FALSE)&amp;"")</f>
        <v/>
      </c>
      <c r="E227" s="41" t="str">
        <f>IF(ISERROR(VLOOKUP($A227,通讯录!$A:$M,6,FALSE)&amp;""),"",VLOOKUP($A227,通讯录!$A:$M,6,FALSE)&amp;"")</f>
        <v/>
      </c>
      <c r="F227" s="41" t="str">
        <f>IF(ISERROR(VLOOKUP($A227,通讯录!$A:$M,4,FALSE)&amp;""),"",VLOOKUP($A227,通讯录!$A:$M,4,FALSE)&amp;"")</f>
        <v/>
      </c>
      <c r="G227" s="41" t="str">
        <f>IF(ISERROR(VLOOKUP($A227,通讯录!$A:$M,8,FALSE)&amp;""),"",VLOOKUP($A227,通讯录!$A:$M,8,FALSE)&amp;"")</f>
        <v/>
      </c>
      <c r="H227" s="41"/>
      <c r="I227" s="41"/>
      <c r="J227" s="41"/>
      <c r="L227" s="29" t="str">
        <f t="shared" si="4"/>
        <v/>
      </c>
    </row>
    <row r="228" spans="2:12">
      <c r="B228" s="41" t="str">
        <f>IF(ISERROR(VLOOKUP($A228,通讯录!$A:$M,3,FALSE)&amp;""),"",VLOOKUP($A228,通讯录!$A:$M,3,FALSE)&amp;"")</f>
        <v/>
      </c>
      <c r="C228" s="41" t="str">
        <f>IF(ISERROR(VLOOKUP($A228,通讯录!$A:$M,7,FALSE)&amp;""),"",VLOOKUP($A228,通讯录!$A:$M,7,FALSE)&amp;"")</f>
        <v/>
      </c>
      <c r="D228" s="41" t="str">
        <f>IF(ISERROR(VLOOKUP($A228,通讯录!$A:$M,5,FALSE)&amp;""),"",VLOOKUP($A228,通讯录!$A:$M,5,FALSE)&amp;"")</f>
        <v/>
      </c>
      <c r="E228" s="41" t="str">
        <f>IF(ISERROR(VLOOKUP($A228,通讯录!$A:$M,6,FALSE)&amp;""),"",VLOOKUP($A228,通讯录!$A:$M,6,FALSE)&amp;"")</f>
        <v/>
      </c>
      <c r="F228" s="41" t="str">
        <f>IF(ISERROR(VLOOKUP($A228,通讯录!$A:$M,4,FALSE)&amp;""),"",VLOOKUP($A228,通讯录!$A:$M,4,FALSE)&amp;"")</f>
        <v/>
      </c>
      <c r="G228" s="41" t="str">
        <f>IF(ISERROR(VLOOKUP($A228,通讯录!$A:$M,8,FALSE)&amp;""),"",VLOOKUP($A228,通讯录!$A:$M,8,FALSE)&amp;"")</f>
        <v/>
      </c>
      <c r="H228" s="41"/>
      <c r="I228" s="41"/>
      <c r="J228" s="41"/>
      <c r="L228" s="29" t="str">
        <f t="shared" si="4"/>
        <v/>
      </c>
    </row>
    <row r="229" spans="2:12">
      <c r="B229" s="41" t="str">
        <f>IF(ISERROR(VLOOKUP($A229,通讯录!$A:$M,3,FALSE)&amp;""),"",VLOOKUP($A229,通讯录!$A:$M,3,FALSE)&amp;"")</f>
        <v/>
      </c>
      <c r="C229" s="41" t="str">
        <f>IF(ISERROR(VLOOKUP($A229,通讯录!$A:$M,7,FALSE)&amp;""),"",VLOOKUP($A229,通讯录!$A:$M,7,FALSE)&amp;"")</f>
        <v/>
      </c>
      <c r="D229" s="41" t="str">
        <f>IF(ISERROR(VLOOKUP($A229,通讯录!$A:$M,5,FALSE)&amp;""),"",VLOOKUP($A229,通讯录!$A:$M,5,FALSE)&amp;"")</f>
        <v/>
      </c>
      <c r="E229" s="41" t="str">
        <f>IF(ISERROR(VLOOKUP($A229,通讯录!$A:$M,6,FALSE)&amp;""),"",VLOOKUP($A229,通讯录!$A:$M,6,FALSE)&amp;"")</f>
        <v/>
      </c>
      <c r="F229" s="41" t="str">
        <f>IF(ISERROR(VLOOKUP($A229,通讯录!$A:$M,4,FALSE)&amp;""),"",VLOOKUP($A229,通讯录!$A:$M,4,FALSE)&amp;"")</f>
        <v/>
      </c>
      <c r="G229" s="41" t="str">
        <f>IF(ISERROR(VLOOKUP($A229,通讯录!$A:$M,8,FALSE)&amp;""),"",VLOOKUP($A229,通讯录!$A:$M,8,FALSE)&amp;"")</f>
        <v/>
      </c>
      <c r="H229" s="41"/>
      <c r="I229" s="41"/>
      <c r="J229" s="41"/>
      <c r="L229" s="29" t="str">
        <f t="shared" si="4"/>
        <v/>
      </c>
    </row>
    <row r="230" spans="2:12">
      <c r="B230" s="41" t="str">
        <f>IF(ISERROR(VLOOKUP($A230,通讯录!$A:$M,3,FALSE)&amp;""),"",VLOOKUP($A230,通讯录!$A:$M,3,FALSE)&amp;"")</f>
        <v/>
      </c>
      <c r="C230" s="41" t="str">
        <f>IF(ISERROR(VLOOKUP($A230,通讯录!$A:$M,7,FALSE)&amp;""),"",VLOOKUP($A230,通讯录!$A:$M,7,FALSE)&amp;"")</f>
        <v/>
      </c>
      <c r="D230" s="41" t="str">
        <f>IF(ISERROR(VLOOKUP($A230,通讯录!$A:$M,5,FALSE)&amp;""),"",VLOOKUP($A230,通讯录!$A:$M,5,FALSE)&amp;"")</f>
        <v/>
      </c>
      <c r="E230" s="41" t="str">
        <f>IF(ISERROR(VLOOKUP($A230,通讯录!$A:$M,6,FALSE)&amp;""),"",VLOOKUP($A230,通讯录!$A:$M,6,FALSE)&amp;"")</f>
        <v/>
      </c>
      <c r="F230" s="41" t="str">
        <f>IF(ISERROR(VLOOKUP($A230,通讯录!$A:$M,4,FALSE)&amp;""),"",VLOOKUP($A230,通讯录!$A:$M,4,FALSE)&amp;"")</f>
        <v/>
      </c>
      <c r="G230" s="41" t="str">
        <f>IF(ISERROR(VLOOKUP($A230,通讯录!$A:$M,8,FALSE)&amp;""),"",VLOOKUP($A230,通讯录!$A:$M,8,FALSE)&amp;"")</f>
        <v/>
      </c>
      <c r="H230" s="41"/>
      <c r="I230" s="41"/>
      <c r="J230" s="41"/>
      <c r="L230" s="29" t="str">
        <f t="shared" si="4"/>
        <v/>
      </c>
    </row>
    <row r="231" spans="2:12">
      <c r="B231" s="41" t="str">
        <f>IF(ISERROR(VLOOKUP($A231,通讯录!$A:$M,3,FALSE)&amp;""),"",VLOOKUP($A231,通讯录!$A:$M,3,FALSE)&amp;"")</f>
        <v/>
      </c>
      <c r="C231" s="41" t="str">
        <f>IF(ISERROR(VLOOKUP($A231,通讯录!$A:$M,7,FALSE)&amp;""),"",VLOOKUP($A231,通讯录!$A:$M,7,FALSE)&amp;"")</f>
        <v/>
      </c>
      <c r="D231" s="41" t="str">
        <f>IF(ISERROR(VLOOKUP($A231,通讯录!$A:$M,5,FALSE)&amp;""),"",VLOOKUP($A231,通讯录!$A:$M,5,FALSE)&amp;"")</f>
        <v/>
      </c>
      <c r="E231" s="41" t="str">
        <f>IF(ISERROR(VLOOKUP($A231,通讯录!$A:$M,6,FALSE)&amp;""),"",VLOOKUP($A231,通讯录!$A:$M,6,FALSE)&amp;"")</f>
        <v/>
      </c>
      <c r="F231" s="41" t="str">
        <f>IF(ISERROR(VLOOKUP($A231,通讯录!$A:$M,4,FALSE)&amp;""),"",VLOOKUP($A231,通讯录!$A:$M,4,FALSE)&amp;"")</f>
        <v/>
      </c>
      <c r="G231" s="41" t="str">
        <f>IF(ISERROR(VLOOKUP($A231,通讯录!$A:$M,8,FALSE)&amp;""),"",VLOOKUP($A231,通讯录!$A:$M,8,FALSE)&amp;"")</f>
        <v/>
      </c>
      <c r="H231" s="41"/>
      <c r="I231" s="41"/>
      <c r="J231" s="41"/>
      <c r="L231" s="29" t="str">
        <f t="shared" si="4"/>
        <v/>
      </c>
    </row>
    <row r="232" spans="2:12">
      <c r="B232" s="41" t="str">
        <f>IF(ISERROR(VLOOKUP($A232,通讯录!$A:$M,3,FALSE)&amp;""),"",VLOOKUP($A232,通讯录!$A:$M,3,FALSE)&amp;"")</f>
        <v/>
      </c>
      <c r="C232" s="41" t="str">
        <f>IF(ISERROR(VLOOKUP($A232,通讯录!$A:$M,7,FALSE)&amp;""),"",VLOOKUP($A232,通讯录!$A:$M,7,FALSE)&amp;"")</f>
        <v/>
      </c>
      <c r="D232" s="41" t="str">
        <f>IF(ISERROR(VLOOKUP($A232,通讯录!$A:$M,5,FALSE)&amp;""),"",VLOOKUP($A232,通讯录!$A:$M,5,FALSE)&amp;"")</f>
        <v/>
      </c>
      <c r="E232" s="41" t="str">
        <f>IF(ISERROR(VLOOKUP($A232,通讯录!$A:$M,6,FALSE)&amp;""),"",VLOOKUP($A232,通讯录!$A:$M,6,FALSE)&amp;"")</f>
        <v/>
      </c>
      <c r="F232" s="41" t="str">
        <f>IF(ISERROR(VLOOKUP($A232,通讯录!$A:$M,4,FALSE)&amp;""),"",VLOOKUP($A232,通讯录!$A:$M,4,FALSE)&amp;"")</f>
        <v/>
      </c>
      <c r="G232" s="41" t="str">
        <f>IF(ISERROR(VLOOKUP($A232,通讯录!$A:$M,8,FALSE)&amp;""),"",VLOOKUP($A232,通讯录!$A:$M,8,FALSE)&amp;"")</f>
        <v/>
      </c>
      <c r="H232" s="41"/>
      <c r="I232" s="41"/>
      <c r="J232" s="41"/>
      <c r="L232" s="29" t="str">
        <f t="shared" si="4"/>
        <v/>
      </c>
    </row>
    <row r="233" spans="2:12">
      <c r="B233" s="41" t="str">
        <f>IF(ISERROR(VLOOKUP($A233,通讯录!$A:$M,3,FALSE)&amp;""),"",VLOOKUP($A233,通讯录!$A:$M,3,FALSE)&amp;"")</f>
        <v/>
      </c>
      <c r="C233" s="41" t="str">
        <f>IF(ISERROR(VLOOKUP($A233,通讯录!$A:$M,7,FALSE)&amp;""),"",VLOOKUP($A233,通讯录!$A:$M,7,FALSE)&amp;"")</f>
        <v/>
      </c>
      <c r="D233" s="41" t="str">
        <f>IF(ISERROR(VLOOKUP($A233,通讯录!$A:$M,5,FALSE)&amp;""),"",VLOOKUP($A233,通讯录!$A:$M,5,FALSE)&amp;"")</f>
        <v/>
      </c>
      <c r="E233" s="41" t="str">
        <f>IF(ISERROR(VLOOKUP($A233,通讯录!$A:$M,6,FALSE)&amp;""),"",VLOOKUP($A233,通讯录!$A:$M,6,FALSE)&amp;"")</f>
        <v/>
      </c>
      <c r="F233" s="41" t="str">
        <f>IF(ISERROR(VLOOKUP($A233,通讯录!$A:$M,4,FALSE)&amp;""),"",VLOOKUP($A233,通讯录!$A:$M,4,FALSE)&amp;"")</f>
        <v/>
      </c>
      <c r="G233" s="41" t="str">
        <f>IF(ISERROR(VLOOKUP($A233,通讯录!$A:$M,8,FALSE)&amp;""),"",VLOOKUP($A233,通讯录!$A:$M,8,FALSE)&amp;"")</f>
        <v/>
      </c>
      <c r="H233" s="41"/>
      <c r="I233" s="41"/>
      <c r="J233" s="41"/>
      <c r="L233" s="29" t="str">
        <f t="shared" si="4"/>
        <v/>
      </c>
    </row>
    <row r="234" spans="2:12">
      <c r="B234" s="41" t="str">
        <f>IF(ISERROR(VLOOKUP($A234,通讯录!$A:$M,3,FALSE)&amp;""),"",VLOOKUP($A234,通讯录!$A:$M,3,FALSE)&amp;"")</f>
        <v/>
      </c>
      <c r="C234" s="41" t="str">
        <f>IF(ISERROR(VLOOKUP($A234,通讯录!$A:$M,7,FALSE)&amp;""),"",VLOOKUP($A234,通讯录!$A:$M,7,FALSE)&amp;"")</f>
        <v/>
      </c>
      <c r="D234" s="41" t="str">
        <f>IF(ISERROR(VLOOKUP($A234,通讯录!$A:$M,5,FALSE)&amp;""),"",VLOOKUP($A234,通讯录!$A:$M,5,FALSE)&amp;"")</f>
        <v/>
      </c>
      <c r="E234" s="41" t="str">
        <f>IF(ISERROR(VLOOKUP($A234,通讯录!$A:$M,6,FALSE)&amp;""),"",VLOOKUP($A234,通讯录!$A:$M,6,FALSE)&amp;"")</f>
        <v/>
      </c>
      <c r="F234" s="41" t="str">
        <f>IF(ISERROR(VLOOKUP($A234,通讯录!$A:$M,4,FALSE)&amp;""),"",VLOOKUP($A234,通讯录!$A:$M,4,FALSE)&amp;"")</f>
        <v/>
      </c>
      <c r="G234" s="41" t="str">
        <f>IF(ISERROR(VLOOKUP($A234,通讯录!$A:$M,8,FALSE)&amp;""),"",VLOOKUP($A234,通讯录!$A:$M,8,FALSE)&amp;"")</f>
        <v/>
      </c>
      <c r="H234" s="41"/>
      <c r="I234" s="41"/>
      <c r="J234" s="41"/>
      <c r="L234" s="29" t="str">
        <f t="shared" si="4"/>
        <v/>
      </c>
    </row>
    <row r="235" spans="2:12">
      <c r="B235" s="41" t="str">
        <f>IF(ISERROR(VLOOKUP($A235,通讯录!$A:$M,3,FALSE)&amp;""),"",VLOOKUP($A235,通讯录!$A:$M,3,FALSE)&amp;"")</f>
        <v/>
      </c>
      <c r="C235" s="41" t="str">
        <f>IF(ISERROR(VLOOKUP($A235,通讯录!$A:$M,7,FALSE)&amp;""),"",VLOOKUP($A235,通讯录!$A:$M,7,FALSE)&amp;"")</f>
        <v/>
      </c>
      <c r="D235" s="41" t="str">
        <f>IF(ISERROR(VLOOKUP($A235,通讯录!$A:$M,5,FALSE)&amp;""),"",VLOOKUP($A235,通讯录!$A:$M,5,FALSE)&amp;"")</f>
        <v/>
      </c>
      <c r="E235" s="41" t="str">
        <f>IF(ISERROR(VLOOKUP($A235,通讯录!$A:$M,6,FALSE)&amp;""),"",VLOOKUP($A235,通讯录!$A:$M,6,FALSE)&amp;"")</f>
        <v/>
      </c>
      <c r="F235" s="41" t="str">
        <f>IF(ISERROR(VLOOKUP($A235,通讯录!$A:$M,4,FALSE)&amp;""),"",VLOOKUP($A235,通讯录!$A:$M,4,FALSE)&amp;"")</f>
        <v/>
      </c>
      <c r="G235" s="41" t="str">
        <f>IF(ISERROR(VLOOKUP($A235,通讯录!$A:$M,8,FALSE)&amp;""),"",VLOOKUP($A235,通讯录!$A:$M,8,FALSE)&amp;"")</f>
        <v/>
      </c>
      <c r="H235" s="41"/>
      <c r="I235" s="41"/>
      <c r="J235" s="41"/>
      <c r="L235" s="29" t="str">
        <f t="shared" si="4"/>
        <v/>
      </c>
    </row>
    <row r="236" spans="2:12">
      <c r="B236" s="41" t="str">
        <f>IF(ISERROR(VLOOKUP($A236,通讯录!$A:$M,3,FALSE)&amp;""),"",VLOOKUP($A236,通讯录!$A:$M,3,FALSE)&amp;"")</f>
        <v/>
      </c>
      <c r="C236" s="41" t="str">
        <f>IF(ISERROR(VLOOKUP($A236,通讯录!$A:$M,7,FALSE)&amp;""),"",VLOOKUP($A236,通讯录!$A:$M,7,FALSE)&amp;"")</f>
        <v/>
      </c>
      <c r="D236" s="41" t="str">
        <f>IF(ISERROR(VLOOKUP($A236,通讯录!$A:$M,5,FALSE)&amp;""),"",VLOOKUP($A236,通讯录!$A:$M,5,FALSE)&amp;"")</f>
        <v/>
      </c>
      <c r="E236" s="41" t="str">
        <f>IF(ISERROR(VLOOKUP($A236,通讯录!$A:$M,6,FALSE)&amp;""),"",VLOOKUP($A236,通讯录!$A:$M,6,FALSE)&amp;"")</f>
        <v/>
      </c>
      <c r="F236" s="41" t="str">
        <f>IF(ISERROR(VLOOKUP($A236,通讯录!$A:$M,4,FALSE)&amp;""),"",VLOOKUP($A236,通讯录!$A:$M,4,FALSE)&amp;"")</f>
        <v/>
      </c>
      <c r="G236" s="41" t="str">
        <f>IF(ISERROR(VLOOKUP($A236,通讯录!$A:$M,8,FALSE)&amp;""),"",VLOOKUP($A236,通讯录!$A:$M,8,FALSE)&amp;"")</f>
        <v/>
      </c>
      <c r="H236" s="41"/>
      <c r="I236" s="41"/>
      <c r="J236" s="41"/>
      <c r="L236" s="29" t="str">
        <f t="shared" si="4"/>
        <v/>
      </c>
    </row>
    <row r="237" spans="2:12">
      <c r="B237" s="41" t="str">
        <f>IF(ISERROR(VLOOKUP($A237,通讯录!$A:$M,3,FALSE)&amp;""),"",VLOOKUP($A237,通讯录!$A:$M,3,FALSE)&amp;"")</f>
        <v/>
      </c>
      <c r="C237" s="41" t="str">
        <f>IF(ISERROR(VLOOKUP($A237,通讯录!$A:$M,7,FALSE)&amp;""),"",VLOOKUP($A237,通讯录!$A:$M,7,FALSE)&amp;"")</f>
        <v/>
      </c>
      <c r="D237" s="41" t="str">
        <f>IF(ISERROR(VLOOKUP($A237,通讯录!$A:$M,5,FALSE)&amp;""),"",VLOOKUP($A237,通讯录!$A:$M,5,FALSE)&amp;"")</f>
        <v/>
      </c>
      <c r="E237" s="41" t="str">
        <f>IF(ISERROR(VLOOKUP($A237,通讯录!$A:$M,6,FALSE)&amp;""),"",VLOOKUP($A237,通讯录!$A:$M,6,FALSE)&amp;"")</f>
        <v/>
      </c>
      <c r="F237" s="41" t="str">
        <f>IF(ISERROR(VLOOKUP($A237,通讯录!$A:$M,4,FALSE)&amp;""),"",VLOOKUP($A237,通讯录!$A:$M,4,FALSE)&amp;"")</f>
        <v/>
      </c>
      <c r="G237" s="41" t="str">
        <f>IF(ISERROR(VLOOKUP($A237,通讯录!$A:$M,8,FALSE)&amp;""),"",VLOOKUP($A237,通讯录!$A:$M,8,FALSE)&amp;"")</f>
        <v/>
      </c>
      <c r="H237" s="41"/>
      <c r="I237" s="41"/>
      <c r="J237" s="41"/>
      <c r="L237" s="29" t="str">
        <f t="shared" si="4"/>
        <v/>
      </c>
    </row>
    <row r="238" spans="2:12">
      <c r="B238" s="41" t="str">
        <f>IF(ISERROR(VLOOKUP($A238,通讯录!$A:$M,3,FALSE)&amp;""),"",VLOOKUP($A238,通讯录!$A:$M,3,FALSE)&amp;"")</f>
        <v/>
      </c>
      <c r="C238" s="41" t="str">
        <f>IF(ISERROR(VLOOKUP($A238,通讯录!$A:$M,7,FALSE)&amp;""),"",VLOOKUP($A238,通讯录!$A:$M,7,FALSE)&amp;"")</f>
        <v/>
      </c>
      <c r="D238" s="41" t="str">
        <f>IF(ISERROR(VLOOKUP($A238,通讯录!$A:$M,5,FALSE)&amp;""),"",VLOOKUP($A238,通讯录!$A:$M,5,FALSE)&amp;"")</f>
        <v/>
      </c>
      <c r="E238" s="41" t="str">
        <f>IF(ISERROR(VLOOKUP($A238,通讯录!$A:$M,6,FALSE)&amp;""),"",VLOOKUP($A238,通讯录!$A:$M,6,FALSE)&amp;"")</f>
        <v/>
      </c>
      <c r="F238" s="41" t="str">
        <f>IF(ISERROR(VLOOKUP($A238,通讯录!$A:$M,4,FALSE)&amp;""),"",VLOOKUP($A238,通讯录!$A:$M,4,FALSE)&amp;"")</f>
        <v/>
      </c>
      <c r="G238" s="41" t="str">
        <f>IF(ISERROR(VLOOKUP($A238,通讯录!$A:$M,8,FALSE)&amp;""),"",VLOOKUP($A238,通讯录!$A:$M,8,FALSE)&amp;"")</f>
        <v/>
      </c>
      <c r="H238" s="41"/>
      <c r="I238" s="41"/>
      <c r="J238" s="41"/>
      <c r="L238" s="29" t="str">
        <f t="shared" si="4"/>
        <v/>
      </c>
    </row>
    <row r="239" spans="2:12">
      <c r="B239" s="41" t="str">
        <f>IF(ISERROR(VLOOKUP($A239,通讯录!$A:$M,3,FALSE)&amp;""),"",VLOOKUP($A239,通讯录!$A:$M,3,FALSE)&amp;"")</f>
        <v/>
      </c>
      <c r="C239" s="41" t="str">
        <f>IF(ISERROR(VLOOKUP($A239,通讯录!$A:$M,7,FALSE)&amp;""),"",VLOOKUP($A239,通讯录!$A:$M,7,FALSE)&amp;"")</f>
        <v/>
      </c>
      <c r="D239" s="41" t="str">
        <f>IF(ISERROR(VLOOKUP($A239,通讯录!$A:$M,5,FALSE)&amp;""),"",VLOOKUP($A239,通讯录!$A:$M,5,FALSE)&amp;"")</f>
        <v/>
      </c>
      <c r="E239" s="41" t="str">
        <f>IF(ISERROR(VLOOKUP($A239,通讯录!$A:$M,6,FALSE)&amp;""),"",VLOOKUP($A239,通讯录!$A:$M,6,FALSE)&amp;"")</f>
        <v/>
      </c>
      <c r="F239" s="41" t="str">
        <f>IF(ISERROR(VLOOKUP($A239,通讯录!$A:$M,4,FALSE)&amp;""),"",VLOOKUP($A239,通讯录!$A:$M,4,FALSE)&amp;"")</f>
        <v/>
      </c>
      <c r="G239" s="41" t="str">
        <f>IF(ISERROR(VLOOKUP($A239,通讯录!$A:$M,8,FALSE)&amp;""),"",VLOOKUP($A239,通讯录!$A:$M,8,FALSE)&amp;"")</f>
        <v/>
      </c>
      <c r="H239" s="41"/>
      <c r="I239" s="41"/>
      <c r="J239" s="41"/>
      <c r="L239" s="29" t="str">
        <f t="shared" si="4"/>
        <v/>
      </c>
    </row>
    <row r="240" spans="2:12">
      <c r="B240" s="41" t="str">
        <f>IF(ISERROR(VLOOKUP($A240,通讯录!$A:$M,3,FALSE)&amp;""),"",VLOOKUP($A240,通讯录!$A:$M,3,FALSE)&amp;"")</f>
        <v/>
      </c>
      <c r="C240" s="41" t="str">
        <f>IF(ISERROR(VLOOKUP($A240,通讯录!$A:$M,7,FALSE)&amp;""),"",VLOOKUP($A240,通讯录!$A:$M,7,FALSE)&amp;"")</f>
        <v/>
      </c>
      <c r="D240" s="41" t="str">
        <f>IF(ISERROR(VLOOKUP($A240,通讯录!$A:$M,5,FALSE)&amp;""),"",VLOOKUP($A240,通讯录!$A:$M,5,FALSE)&amp;"")</f>
        <v/>
      </c>
      <c r="E240" s="41" t="str">
        <f>IF(ISERROR(VLOOKUP($A240,通讯录!$A:$M,6,FALSE)&amp;""),"",VLOOKUP($A240,通讯录!$A:$M,6,FALSE)&amp;"")</f>
        <v/>
      </c>
      <c r="F240" s="41" t="str">
        <f>IF(ISERROR(VLOOKUP($A240,通讯录!$A:$M,4,FALSE)&amp;""),"",VLOOKUP($A240,通讯录!$A:$M,4,FALSE)&amp;"")</f>
        <v/>
      </c>
      <c r="G240" s="41" t="str">
        <f>IF(ISERROR(VLOOKUP($A240,通讯录!$A:$M,8,FALSE)&amp;""),"",VLOOKUP($A240,通讯录!$A:$M,8,FALSE)&amp;"")</f>
        <v/>
      </c>
      <c r="H240" s="41"/>
      <c r="I240" s="41"/>
      <c r="J240" s="41"/>
      <c r="L240" s="29" t="str">
        <f t="shared" si="4"/>
        <v/>
      </c>
    </row>
    <row r="241" spans="2:12">
      <c r="B241" s="41" t="str">
        <f>IF(ISERROR(VLOOKUP($A241,通讯录!$A:$M,3,FALSE)&amp;""),"",VLOOKUP($A241,通讯录!$A:$M,3,FALSE)&amp;"")</f>
        <v/>
      </c>
      <c r="C241" s="41" t="str">
        <f>IF(ISERROR(VLOOKUP($A241,通讯录!$A:$M,7,FALSE)&amp;""),"",VLOOKUP($A241,通讯录!$A:$M,7,FALSE)&amp;"")</f>
        <v/>
      </c>
      <c r="D241" s="41" t="str">
        <f>IF(ISERROR(VLOOKUP($A241,通讯录!$A:$M,5,FALSE)&amp;""),"",VLOOKUP($A241,通讯录!$A:$M,5,FALSE)&amp;"")</f>
        <v/>
      </c>
      <c r="E241" s="41" t="str">
        <f>IF(ISERROR(VLOOKUP($A241,通讯录!$A:$M,6,FALSE)&amp;""),"",VLOOKUP($A241,通讯录!$A:$M,6,FALSE)&amp;"")</f>
        <v/>
      </c>
      <c r="F241" s="41" t="str">
        <f>IF(ISERROR(VLOOKUP($A241,通讯录!$A:$M,4,FALSE)&amp;""),"",VLOOKUP($A241,通讯录!$A:$M,4,FALSE)&amp;"")</f>
        <v/>
      </c>
      <c r="G241" s="41" t="str">
        <f>IF(ISERROR(VLOOKUP($A241,通讯录!$A:$M,8,FALSE)&amp;""),"",VLOOKUP($A241,通讯录!$A:$M,8,FALSE)&amp;"")</f>
        <v/>
      </c>
      <c r="H241" s="41"/>
      <c r="I241" s="41"/>
      <c r="J241" s="41"/>
      <c r="L241" s="29" t="str">
        <f t="shared" si="4"/>
        <v/>
      </c>
    </row>
    <row r="242" spans="2:12">
      <c r="B242" s="41" t="str">
        <f>IF(ISERROR(VLOOKUP($A242,通讯录!$A:$M,3,FALSE)&amp;""),"",VLOOKUP($A242,通讯录!$A:$M,3,FALSE)&amp;"")</f>
        <v/>
      </c>
      <c r="C242" s="41" t="str">
        <f>IF(ISERROR(VLOOKUP($A242,通讯录!$A:$M,7,FALSE)&amp;""),"",VLOOKUP($A242,通讯录!$A:$M,7,FALSE)&amp;"")</f>
        <v/>
      </c>
      <c r="D242" s="41" t="str">
        <f>IF(ISERROR(VLOOKUP($A242,通讯录!$A:$M,5,FALSE)&amp;""),"",VLOOKUP($A242,通讯录!$A:$M,5,FALSE)&amp;"")</f>
        <v/>
      </c>
      <c r="E242" s="41" t="str">
        <f>IF(ISERROR(VLOOKUP($A242,通讯录!$A:$M,6,FALSE)&amp;""),"",VLOOKUP($A242,通讯录!$A:$M,6,FALSE)&amp;"")</f>
        <v/>
      </c>
      <c r="F242" s="41" t="str">
        <f>IF(ISERROR(VLOOKUP($A242,通讯录!$A:$M,4,FALSE)&amp;""),"",VLOOKUP($A242,通讯录!$A:$M,4,FALSE)&amp;"")</f>
        <v/>
      </c>
      <c r="G242" s="41" t="str">
        <f>IF(ISERROR(VLOOKUP($A242,通讯录!$A:$M,8,FALSE)&amp;""),"",VLOOKUP($A242,通讯录!$A:$M,8,FALSE)&amp;"")</f>
        <v/>
      </c>
      <c r="H242" s="41"/>
      <c r="I242" s="41"/>
      <c r="J242" s="41"/>
      <c r="L242" s="29" t="str">
        <f t="shared" si="4"/>
        <v/>
      </c>
    </row>
    <row r="243" spans="2:12">
      <c r="B243" s="41" t="str">
        <f>IF(ISERROR(VLOOKUP($A243,通讯录!$A:$M,3,FALSE)&amp;""),"",VLOOKUP($A243,通讯录!$A:$M,3,FALSE)&amp;"")</f>
        <v/>
      </c>
      <c r="C243" s="41" t="str">
        <f>IF(ISERROR(VLOOKUP($A243,通讯录!$A:$M,7,FALSE)&amp;""),"",VLOOKUP($A243,通讯录!$A:$M,7,FALSE)&amp;"")</f>
        <v/>
      </c>
      <c r="D243" s="41" t="str">
        <f>IF(ISERROR(VLOOKUP($A243,通讯录!$A:$M,5,FALSE)&amp;""),"",VLOOKUP($A243,通讯录!$A:$M,5,FALSE)&amp;"")</f>
        <v/>
      </c>
      <c r="E243" s="41" t="str">
        <f>IF(ISERROR(VLOOKUP($A243,通讯录!$A:$M,6,FALSE)&amp;""),"",VLOOKUP($A243,通讯录!$A:$M,6,FALSE)&amp;"")</f>
        <v/>
      </c>
      <c r="F243" s="41" t="str">
        <f>IF(ISERROR(VLOOKUP($A243,通讯录!$A:$M,4,FALSE)&amp;""),"",VLOOKUP($A243,通讯录!$A:$M,4,FALSE)&amp;"")</f>
        <v/>
      </c>
      <c r="G243" s="41" t="str">
        <f>IF(ISERROR(VLOOKUP($A243,通讯录!$A:$M,8,FALSE)&amp;""),"",VLOOKUP($A243,通讯录!$A:$M,8,FALSE)&amp;"")</f>
        <v/>
      </c>
      <c r="H243" s="41"/>
      <c r="I243" s="41"/>
      <c r="J243" s="41"/>
      <c r="L243" s="29" t="str">
        <f t="shared" si="4"/>
        <v/>
      </c>
    </row>
    <row r="244" spans="2:12">
      <c r="B244" s="41" t="str">
        <f>IF(ISERROR(VLOOKUP($A244,通讯录!$A:$M,3,FALSE)&amp;""),"",VLOOKUP($A244,通讯录!$A:$M,3,FALSE)&amp;"")</f>
        <v/>
      </c>
      <c r="C244" s="41" t="str">
        <f>IF(ISERROR(VLOOKUP($A244,通讯录!$A:$M,7,FALSE)&amp;""),"",VLOOKUP($A244,通讯录!$A:$M,7,FALSE)&amp;"")</f>
        <v/>
      </c>
      <c r="D244" s="41" t="str">
        <f>IF(ISERROR(VLOOKUP($A244,通讯录!$A:$M,5,FALSE)&amp;""),"",VLOOKUP($A244,通讯录!$A:$M,5,FALSE)&amp;"")</f>
        <v/>
      </c>
      <c r="E244" s="41" t="str">
        <f>IF(ISERROR(VLOOKUP($A244,通讯录!$A:$M,6,FALSE)&amp;""),"",VLOOKUP($A244,通讯录!$A:$M,6,FALSE)&amp;"")</f>
        <v/>
      </c>
      <c r="F244" s="41" t="str">
        <f>IF(ISERROR(VLOOKUP($A244,通讯录!$A:$M,4,FALSE)&amp;""),"",VLOOKUP($A244,通讯录!$A:$M,4,FALSE)&amp;"")</f>
        <v/>
      </c>
      <c r="G244" s="41" t="str">
        <f>IF(ISERROR(VLOOKUP($A244,通讯录!$A:$M,8,FALSE)&amp;""),"",VLOOKUP($A244,通讯录!$A:$M,8,FALSE)&amp;"")</f>
        <v/>
      </c>
      <c r="H244" s="41"/>
      <c r="I244" s="41"/>
      <c r="J244" s="41"/>
      <c r="L244" s="29" t="str">
        <f t="shared" si="4"/>
        <v/>
      </c>
    </row>
    <row r="245" spans="2:12">
      <c r="B245" s="41" t="str">
        <f>IF(ISERROR(VLOOKUP($A245,通讯录!$A:$M,3,FALSE)&amp;""),"",VLOOKUP($A245,通讯录!$A:$M,3,FALSE)&amp;"")</f>
        <v/>
      </c>
      <c r="C245" s="41" t="str">
        <f>IF(ISERROR(VLOOKUP($A245,通讯录!$A:$M,7,FALSE)&amp;""),"",VLOOKUP($A245,通讯录!$A:$M,7,FALSE)&amp;"")</f>
        <v/>
      </c>
      <c r="D245" s="41" t="str">
        <f>IF(ISERROR(VLOOKUP($A245,通讯录!$A:$M,5,FALSE)&amp;""),"",VLOOKUP($A245,通讯录!$A:$M,5,FALSE)&amp;"")</f>
        <v/>
      </c>
      <c r="E245" s="41" t="str">
        <f>IF(ISERROR(VLOOKUP($A245,通讯录!$A:$M,6,FALSE)&amp;""),"",VLOOKUP($A245,通讯录!$A:$M,6,FALSE)&amp;"")</f>
        <v/>
      </c>
      <c r="F245" s="41" t="str">
        <f>IF(ISERROR(VLOOKUP($A245,通讯录!$A:$M,4,FALSE)&amp;""),"",VLOOKUP($A245,通讯录!$A:$M,4,FALSE)&amp;"")</f>
        <v/>
      </c>
      <c r="G245" s="41" t="str">
        <f>IF(ISERROR(VLOOKUP($A245,通讯录!$A:$M,8,FALSE)&amp;""),"",VLOOKUP($A245,通讯录!$A:$M,8,FALSE)&amp;"")</f>
        <v/>
      </c>
      <c r="H245" s="41"/>
      <c r="I245" s="41"/>
      <c r="J245" s="41"/>
      <c r="L245" s="29" t="str">
        <f t="shared" si="4"/>
        <v/>
      </c>
    </row>
    <row r="246" spans="2:12">
      <c r="B246" s="41" t="str">
        <f>IF(ISERROR(VLOOKUP($A246,通讯录!$A:$M,3,FALSE)&amp;""),"",VLOOKUP($A246,通讯录!$A:$M,3,FALSE)&amp;"")</f>
        <v/>
      </c>
      <c r="C246" s="41" t="str">
        <f>IF(ISERROR(VLOOKUP($A246,通讯录!$A:$M,7,FALSE)&amp;""),"",VLOOKUP($A246,通讯录!$A:$M,7,FALSE)&amp;"")</f>
        <v/>
      </c>
      <c r="D246" s="41" t="str">
        <f>IF(ISERROR(VLOOKUP($A246,通讯录!$A:$M,5,FALSE)&amp;""),"",VLOOKUP($A246,通讯录!$A:$M,5,FALSE)&amp;"")</f>
        <v/>
      </c>
      <c r="E246" s="41" t="str">
        <f>IF(ISERROR(VLOOKUP($A246,通讯录!$A:$M,6,FALSE)&amp;""),"",VLOOKUP($A246,通讯录!$A:$M,6,FALSE)&amp;"")</f>
        <v/>
      </c>
      <c r="F246" s="41" t="str">
        <f>IF(ISERROR(VLOOKUP($A246,通讯录!$A:$M,4,FALSE)&amp;""),"",VLOOKUP($A246,通讯录!$A:$M,4,FALSE)&amp;"")</f>
        <v/>
      </c>
      <c r="G246" s="41" t="str">
        <f>IF(ISERROR(VLOOKUP($A246,通讯录!$A:$M,8,FALSE)&amp;""),"",VLOOKUP($A246,通讯录!$A:$M,8,FALSE)&amp;"")</f>
        <v/>
      </c>
      <c r="H246" s="41"/>
      <c r="I246" s="41"/>
      <c r="J246" s="41"/>
      <c r="L246" s="29" t="str">
        <f t="shared" si="4"/>
        <v/>
      </c>
    </row>
    <row r="247" spans="2:12">
      <c r="B247" s="41" t="str">
        <f>IF(ISERROR(VLOOKUP($A247,通讯录!$A:$M,3,FALSE)&amp;""),"",VLOOKUP($A247,通讯录!$A:$M,3,FALSE)&amp;"")</f>
        <v/>
      </c>
      <c r="C247" s="41" t="str">
        <f>IF(ISERROR(VLOOKUP($A247,通讯录!$A:$M,7,FALSE)&amp;""),"",VLOOKUP($A247,通讯录!$A:$M,7,FALSE)&amp;"")</f>
        <v/>
      </c>
      <c r="D247" s="41" t="str">
        <f>IF(ISERROR(VLOOKUP($A247,通讯录!$A:$M,5,FALSE)&amp;""),"",VLOOKUP($A247,通讯录!$A:$M,5,FALSE)&amp;"")</f>
        <v/>
      </c>
      <c r="E247" s="41" t="str">
        <f>IF(ISERROR(VLOOKUP($A247,通讯录!$A:$M,6,FALSE)&amp;""),"",VLOOKUP($A247,通讯录!$A:$M,6,FALSE)&amp;"")</f>
        <v/>
      </c>
      <c r="F247" s="41" t="str">
        <f>IF(ISERROR(VLOOKUP($A247,通讯录!$A:$M,4,FALSE)&amp;""),"",VLOOKUP($A247,通讯录!$A:$M,4,FALSE)&amp;"")</f>
        <v/>
      </c>
      <c r="G247" s="41" t="str">
        <f>IF(ISERROR(VLOOKUP($A247,通讯录!$A:$M,8,FALSE)&amp;""),"",VLOOKUP($A247,通讯录!$A:$M,8,FALSE)&amp;"")</f>
        <v/>
      </c>
      <c r="H247" s="41"/>
      <c r="I247" s="41"/>
      <c r="J247" s="41"/>
      <c r="L247" s="29" t="str">
        <f t="shared" si="4"/>
        <v/>
      </c>
    </row>
    <row r="248" spans="2:12">
      <c r="B248" s="41" t="str">
        <f>IF(ISERROR(VLOOKUP($A248,通讯录!$A:$M,3,FALSE)&amp;""),"",VLOOKUP($A248,通讯录!$A:$M,3,FALSE)&amp;"")</f>
        <v/>
      </c>
      <c r="C248" s="41" t="str">
        <f>IF(ISERROR(VLOOKUP($A248,通讯录!$A:$M,7,FALSE)&amp;""),"",VLOOKUP($A248,通讯录!$A:$M,7,FALSE)&amp;"")</f>
        <v/>
      </c>
      <c r="D248" s="41" t="str">
        <f>IF(ISERROR(VLOOKUP($A248,通讯录!$A:$M,5,FALSE)&amp;""),"",VLOOKUP($A248,通讯录!$A:$M,5,FALSE)&amp;"")</f>
        <v/>
      </c>
      <c r="E248" s="41" t="str">
        <f>IF(ISERROR(VLOOKUP($A248,通讯录!$A:$M,6,FALSE)&amp;""),"",VLOOKUP($A248,通讯录!$A:$M,6,FALSE)&amp;"")</f>
        <v/>
      </c>
      <c r="F248" s="41" t="str">
        <f>IF(ISERROR(VLOOKUP($A248,通讯录!$A:$M,4,FALSE)&amp;""),"",VLOOKUP($A248,通讯录!$A:$M,4,FALSE)&amp;"")</f>
        <v/>
      </c>
      <c r="G248" s="41" t="str">
        <f>IF(ISERROR(VLOOKUP($A248,通讯录!$A:$M,8,FALSE)&amp;""),"",VLOOKUP($A248,通讯录!$A:$M,8,FALSE)&amp;"")</f>
        <v/>
      </c>
      <c r="H248" s="41"/>
      <c r="I248" s="41"/>
      <c r="J248" s="41"/>
      <c r="L248" s="29" t="str">
        <f t="shared" si="4"/>
        <v/>
      </c>
    </row>
    <row r="249" spans="2:12">
      <c r="B249" s="41" t="str">
        <f>IF(ISERROR(VLOOKUP($A249,通讯录!$A:$M,3,FALSE)&amp;""),"",VLOOKUP($A249,通讯录!$A:$M,3,FALSE)&amp;"")</f>
        <v/>
      </c>
      <c r="C249" s="41" t="str">
        <f>IF(ISERROR(VLOOKUP($A249,通讯录!$A:$M,7,FALSE)&amp;""),"",VLOOKUP($A249,通讯录!$A:$M,7,FALSE)&amp;"")</f>
        <v/>
      </c>
      <c r="D249" s="41" t="str">
        <f>IF(ISERROR(VLOOKUP($A249,通讯录!$A:$M,5,FALSE)&amp;""),"",VLOOKUP($A249,通讯录!$A:$M,5,FALSE)&amp;"")</f>
        <v/>
      </c>
      <c r="E249" s="41" t="str">
        <f>IF(ISERROR(VLOOKUP($A249,通讯录!$A:$M,6,FALSE)&amp;""),"",VLOOKUP($A249,通讯录!$A:$M,6,FALSE)&amp;"")</f>
        <v/>
      </c>
      <c r="F249" s="41" t="str">
        <f>IF(ISERROR(VLOOKUP($A249,通讯录!$A:$M,4,FALSE)&amp;""),"",VLOOKUP($A249,通讯录!$A:$M,4,FALSE)&amp;"")</f>
        <v/>
      </c>
      <c r="G249" s="41" t="str">
        <f>IF(ISERROR(VLOOKUP($A249,通讯录!$A:$M,8,FALSE)&amp;""),"",VLOOKUP($A249,通讯录!$A:$M,8,FALSE)&amp;"")</f>
        <v/>
      </c>
      <c r="H249" s="41"/>
      <c r="I249" s="41"/>
      <c r="J249" s="41"/>
      <c r="L249" s="29" t="str">
        <f t="shared" si="4"/>
        <v/>
      </c>
    </row>
    <row r="250" spans="2:12">
      <c r="B250" s="41" t="str">
        <f>IF(ISERROR(VLOOKUP($A250,通讯录!$A:$M,3,FALSE)&amp;""),"",VLOOKUP($A250,通讯录!$A:$M,3,FALSE)&amp;"")</f>
        <v/>
      </c>
      <c r="C250" s="41" t="str">
        <f>IF(ISERROR(VLOOKUP($A250,通讯录!$A:$M,7,FALSE)&amp;""),"",VLOOKUP($A250,通讯录!$A:$M,7,FALSE)&amp;"")</f>
        <v/>
      </c>
      <c r="D250" s="41" t="str">
        <f>IF(ISERROR(VLOOKUP($A250,通讯录!$A:$M,5,FALSE)&amp;""),"",VLOOKUP($A250,通讯录!$A:$M,5,FALSE)&amp;"")</f>
        <v/>
      </c>
      <c r="E250" s="41" t="str">
        <f>IF(ISERROR(VLOOKUP($A250,通讯录!$A:$M,6,FALSE)&amp;""),"",VLOOKUP($A250,通讯录!$A:$M,6,FALSE)&amp;"")</f>
        <v/>
      </c>
      <c r="F250" s="41" t="str">
        <f>IF(ISERROR(VLOOKUP($A250,通讯录!$A:$M,4,FALSE)&amp;""),"",VLOOKUP($A250,通讯录!$A:$M,4,FALSE)&amp;"")</f>
        <v/>
      </c>
      <c r="G250" s="41" t="str">
        <f>IF(ISERROR(VLOOKUP($A250,通讯录!$A:$M,8,FALSE)&amp;""),"",VLOOKUP($A250,通讯录!$A:$M,8,FALSE)&amp;"")</f>
        <v/>
      </c>
      <c r="H250" s="41"/>
      <c r="I250" s="41"/>
      <c r="J250" s="41"/>
      <c r="L250" s="29" t="str">
        <f t="shared" si="4"/>
        <v/>
      </c>
    </row>
    <row r="251" spans="2:12">
      <c r="B251" s="41" t="str">
        <f>IF(ISERROR(VLOOKUP($A251,通讯录!$A:$M,3,FALSE)&amp;""),"",VLOOKUP($A251,通讯录!$A:$M,3,FALSE)&amp;"")</f>
        <v/>
      </c>
      <c r="C251" s="41" t="str">
        <f>IF(ISERROR(VLOOKUP($A251,通讯录!$A:$M,7,FALSE)&amp;""),"",VLOOKUP($A251,通讯录!$A:$M,7,FALSE)&amp;"")</f>
        <v/>
      </c>
      <c r="D251" s="41" t="str">
        <f>IF(ISERROR(VLOOKUP($A251,通讯录!$A:$M,5,FALSE)&amp;""),"",VLOOKUP($A251,通讯录!$A:$M,5,FALSE)&amp;"")</f>
        <v/>
      </c>
      <c r="E251" s="41" t="str">
        <f>IF(ISERROR(VLOOKUP($A251,通讯录!$A:$M,6,FALSE)&amp;""),"",VLOOKUP($A251,通讯录!$A:$M,6,FALSE)&amp;"")</f>
        <v/>
      </c>
      <c r="F251" s="41" t="str">
        <f>IF(ISERROR(VLOOKUP($A251,通讯录!$A:$M,4,FALSE)&amp;""),"",VLOOKUP($A251,通讯录!$A:$M,4,FALSE)&amp;"")</f>
        <v/>
      </c>
      <c r="G251" s="41" t="str">
        <f>IF(ISERROR(VLOOKUP($A251,通讯录!$A:$M,8,FALSE)&amp;""),"",VLOOKUP($A251,通讯录!$A:$M,8,FALSE)&amp;"")</f>
        <v/>
      </c>
      <c r="H251" s="41"/>
      <c r="I251" s="41"/>
      <c r="J251" s="41"/>
      <c r="L251" s="29" t="str">
        <f t="shared" si="4"/>
        <v/>
      </c>
    </row>
    <row r="252" spans="2:12">
      <c r="B252" s="41" t="str">
        <f>IF(ISERROR(VLOOKUP($A252,通讯录!$A:$M,3,FALSE)&amp;""),"",VLOOKUP($A252,通讯录!$A:$M,3,FALSE)&amp;"")</f>
        <v/>
      </c>
      <c r="C252" s="41" t="str">
        <f>IF(ISERROR(VLOOKUP($A252,通讯录!$A:$M,7,FALSE)&amp;""),"",VLOOKUP($A252,通讯录!$A:$M,7,FALSE)&amp;"")</f>
        <v/>
      </c>
      <c r="D252" s="41" t="str">
        <f>IF(ISERROR(VLOOKUP($A252,通讯录!$A:$M,5,FALSE)&amp;""),"",VLOOKUP($A252,通讯录!$A:$M,5,FALSE)&amp;"")</f>
        <v/>
      </c>
      <c r="E252" s="41" t="str">
        <f>IF(ISERROR(VLOOKUP($A252,通讯录!$A:$M,6,FALSE)&amp;""),"",VLOOKUP($A252,通讯录!$A:$M,6,FALSE)&amp;"")</f>
        <v/>
      </c>
      <c r="F252" s="41" t="str">
        <f>IF(ISERROR(VLOOKUP($A252,通讯录!$A:$M,4,FALSE)&amp;""),"",VLOOKUP($A252,通讯录!$A:$M,4,FALSE)&amp;"")</f>
        <v/>
      </c>
      <c r="G252" s="41" t="str">
        <f>IF(ISERROR(VLOOKUP($A252,通讯录!$A:$M,8,FALSE)&amp;""),"",VLOOKUP($A252,通讯录!$A:$M,8,FALSE)&amp;"")</f>
        <v/>
      </c>
      <c r="H252" s="41"/>
      <c r="I252" s="41"/>
      <c r="J252" s="41"/>
      <c r="L252" s="29" t="str">
        <f t="shared" si="4"/>
        <v/>
      </c>
    </row>
    <row r="253" spans="2:12">
      <c r="B253" s="41" t="str">
        <f>IF(ISERROR(VLOOKUP($A253,通讯录!$A:$M,3,FALSE)&amp;""),"",VLOOKUP($A253,通讯录!$A:$M,3,FALSE)&amp;"")</f>
        <v/>
      </c>
      <c r="C253" s="41" t="str">
        <f>IF(ISERROR(VLOOKUP($A253,通讯录!$A:$M,7,FALSE)&amp;""),"",VLOOKUP($A253,通讯录!$A:$M,7,FALSE)&amp;"")</f>
        <v/>
      </c>
      <c r="D253" s="41" t="str">
        <f>IF(ISERROR(VLOOKUP($A253,通讯录!$A:$M,5,FALSE)&amp;""),"",VLOOKUP($A253,通讯录!$A:$M,5,FALSE)&amp;"")</f>
        <v/>
      </c>
      <c r="E253" s="41" t="str">
        <f>IF(ISERROR(VLOOKUP($A253,通讯录!$A:$M,6,FALSE)&amp;""),"",VLOOKUP($A253,通讯录!$A:$M,6,FALSE)&amp;"")</f>
        <v/>
      </c>
      <c r="F253" s="41" t="str">
        <f>IF(ISERROR(VLOOKUP($A253,通讯录!$A:$M,4,FALSE)&amp;""),"",VLOOKUP($A253,通讯录!$A:$M,4,FALSE)&amp;"")</f>
        <v/>
      </c>
      <c r="G253" s="41" t="str">
        <f>IF(ISERROR(VLOOKUP($A253,通讯录!$A:$M,8,FALSE)&amp;""),"",VLOOKUP($A253,通讯录!$A:$M,8,FALSE)&amp;"")</f>
        <v/>
      </c>
      <c r="H253" s="41"/>
      <c r="I253" s="41"/>
      <c r="J253" s="41"/>
      <c r="L253" s="29" t="str">
        <f t="shared" si="4"/>
        <v/>
      </c>
    </row>
    <row r="254" spans="2:12">
      <c r="B254" s="41" t="str">
        <f>IF(ISERROR(VLOOKUP($A254,通讯录!$A:$M,3,FALSE)&amp;""),"",VLOOKUP($A254,通讯录!$A:$M,3,FALSE)&amp;"")</f>
        <v/>
      </c>
      <c r="C254" s="41" t="str">
        <f>IF(ISERROR(VLOOKUP($A254,通讯录!$A:$M,7,FALSE)&amp;""),"",VLOOKUP($A254,通讯录!$A:$M,7,FALSE)&amp;"")</f>
        <v/>
      </c>
      <c r="D254" s="41" t="str">
        <f>IF(ISERROR(VLOOKUP($A254,通讯录!$A:$M,5,FALSE)&amp;""),"",VLOOKUP($A254,通讯录!$A:$M,5,FALSE)&amp;"")</f>
        <v/>
      </c>
      <c r="E254" s="41" t="str">
        <f>IF(ISERROR(VLOOKUP($A254,通讯录!$A:$M,6,FALSE)&amp;""),"",VLOOKUP($A254,通讯录!$A:$M,6,FALSE)&amp;"")</f>
        <v/>
      </c>
      <c r="F254" s="41" t="str">
        <f>IF(ISERROR(VLOOKUP($A254,通讯录!$A:$M,4,FALSE)&amp;""),"",VLOOKUP($A254,通讯录!$A:$M,4,FALSE)&amp;"")</f>
        <v/>
      </c>
      <c r="G254" s="41" t="str">
        <f>IF(ISERROR(VLOOKUP($A254,通讯录!$A:$M,8,FALSE)&amp;""),"",VLOOKUP($A254,通讯录!$A:$M,8,FALSE)&amp;"")</f>
        <v/>
      </c>
      <c r="H254" s="41"/>
      <c r="I254" s="41"/>
      <c r="J254" s="41"/>
      <c r="L254" s="29" t="str">
        <f t="shared" si="4"/>
        <v/>
      </c>
    </row>
    <row r="255" spans="2:12">
      <c r="B255" s="41" t="str">
        <f>IF(ISERROR(VLOOKUP($A255,通讯录!$A:$M,3,FALSE)&amp;""),"",VLOOKUP($A255,通讯录!$A:$M,3,FALSE)&amp;"")</f>
        <v/>
      </c>
      <c r="C255" s="41" t="str">
        <f>IF(ISERROR(VLOOKUP($A255,通讯录!$A:$M,7,FALSE)&amp;""),"",VLOOKUP($A255,通讯录!$A:$M,7,FALSE)&amp;"")</f>
        <v/>
      </c>
      <c r="D255" s="41" t="str">
        <f>IF(ISERROR(VLOOKUP($A255,通讯录!$A:$M,5,FALSE)&amp;""),"",VLOOKUP($A255,通讯录!$A:$M,5,FALSE)&amp;"")</f>
        <v/>
      </c>
      <c r="E255" s="41" t="str">
        <f>IF(ISERROR(VLOOKUP($A255,通讯录!$A:$M,6,FALSE)&amp;""),"",VLOOKUP($A255,通讯录!$A:$M,6,FALSE)&amp;"")</f>
        <v/>
      </c>
      <c r="F255" s="41" t="str">
        <f>IF(ISERROR(VLOOKUP($A255,通讯录!$A:$M,4,FALSE)&amp;""),"",VLOOKUP($A255,通讯录!$A:$M,4,FALSE)&amp;"")</f>
        <v/>
      </c>
      <c r="G255" s="41" t="str">
        <f>IF(ISERROR(VLOOKUP($A255,通讯录!$A:$M,8,FALSE)&amp;""),"",VLOOKUP($A255,通讯录!$A:$M,8,FALSE)&amp;"")</f>
        <v/>
      </c>
      <c r="H255" s="41"/>
      <c r="I255" s="41"/>
      <c r="J255" s="41"/>
      <c r="L255" s="29" t="str">
        <f t="shared" si="4"/>
        <v/>
      </c>
    </row>
    <row r="256" spans="2:12">
      <c r="B256" s="41" t="str">
        <f>IF(ISERROR(VLOOKUP($A256,通讯录!$A:$M,3,FALSE)&amp;""),"",VLOOKUP($A256,通讯录!$A:$M,3,FALSE)&amp;"")</f>
        <v/>
      </c>
      <c r="C256" s="41" t="str">
        <f>IF(ISERROR(VLOOKUP($A256,通讯录!$A:$M,7,FALSE)&amp;""),"",VLOOKUP($A256,通讯录!$A:$M,7,FALSE)&amp;"")</f>
        <v/>
      </c>
      <c r="D256" s="41" t="str">
        <f>IF(ISERROR(VLOOKUP($A256,通讯录!$A:$M,5,FALSE)&amp;""),"",VLOOKUP($A256,通讯录!$A:$M,5,FALSE)&amp;"")</f>
        <v/>
      </c>
      <c r="E256" s="41" t="str">
        <f>IF(ISERROR(VLOOKUP($A256,通讯录!$A:$M,6,FALSE)&amp;""),"",VLOOKUP($A256,通讯录!$A:$M,6,FALSE)&amp;"")</f>
        <v/>
      </c>
      <c r="F256" s="41" t="str">
        <f>IF(ISERROR(VLOOKUP($A256,通讯录!$A:$M,4,FALSE)&amp;""),"",VLOOKUP($A256,通讯录!$A:$M,4,FALSE)&amp;"")</f>
        <v/>
      </c>
      <c r="G256" s="41" t="str">
        <f>IF(ISERROR(VLOOKUP($A256,通讯录!$A:$M,8,FALSE)&amp;""),"",VLOOKUP($A256,通讯录!$A:$M,8,FALSE)&amp;"")</f>
        <v/>
      </c>
      <c r="H256" s="41"/>
      <c r="I256" s="41"/>
      <c r="J256" s="41"/>
      <c r="L256" s="29" t="str">
        <f t="shared" si="4"/>
        <v/>
      </c>
    </row>
    <row r="257" spans="2:12">
      <c r="B257" s="41" t="str">
        <f>IF(ISERROR(VLOOKUP($A257,通讯录!$A:$M,3,FALSE)&amp;""),"",VLOOKUP($A257,通讯录!$A:$M,3,FALSE)&amp;"")</f>
        <v/>
      </c>
      <c r="C257" s="41" t="str">
        <f>IF(ISERROR(VLOOKUP($A257,通讯录!$A:$M,7,FALSE)&amp;""),"",VLOOKUP($A257,通讯录!$A:$M,7,FALSE)&amp;"")</f>
        <v/>
      </c>
      <c r="D257" s="41" t="str">
        <f>IF(ISERROR(VLOOKUP($A257,通讯录!$A:$M,5,FALSE)&amp;""),"",VLOOKUP($A257,通讯录!$A:$M,5,FALSE)&amp;"")</f>
        <v/>
      </c>
      <c r="E257" s="41" t="str">
        <f>IF(ISERROR(VLOOKUP($A257,通讯录!$A:$M,6,FALSE)&amp;""),"",VLOOKUP($A257,通讯录!$A:$M,6,FALSE)&amp;"")</f>
        <v/>
      </c>
      <c r="F257" s="41" t="str">
        <f>IF(ISERROR(VLOOKUP($A257,通讯录!$A:$M,4,FALSE)&amp;""),"",VLOOKUP($A257,通讯录!$A:$M,4,FALSE)&amp;"")</f>
        <v/>
      </c>
      <c r="G257" s="41" t="str">
        <f>IF(ISERROR(VLOOKUP($A257,通讯录!$A:$M,8,FALSE)&amp;""),"",VLOOKUP($A257,通讯录!$A:$M,8,FALSE)&amp;"")</f>
        <v/>
      </c>
      <c r="H257" s="41"/>
      <c r="I257" s="41"/>
      <c r="J257" s="41"/>
      <c r="L257" s="29" t="str">
        <f t="shared" si="4"/>
        <v/>
      </c>
    </row>
    <row r="258" spans="2:12">
      <c r="B258" s="41" t="str">
        <f>IF(ISERROR(VLOOKUP($A258,通讯录!$A:$M,3,FALSE)&amp;""),"",VLOOKUP($A258,通讯录!$A:$M,3,FALSE)&amp;"")</f>
        <v/>
      </c>
      <c r="C258" s="41" t="str">
        <f>IF(ISERROR(VLOOKUP($A258,通讯录!$A:$M,7,FALSE)&amp;""),"",VLOOKUP($A258,通讯录!$A:$M,7,FALSE)&amp;"")</f>
        <v/>
      </c>
      <c r="D258" s="41" t="str">
        <f>IF(ISERROR(VLOOKUP($A258,通讯录!$A:$M,5,FALSE)&amp;""),"",VLOOKUP($A258,通讯录!$A:$M,5,FALSE)&amp;"")</f>
        <v/>
      </c>
      <c r="E258" s="41" t="str">
        <f>IF(ISERROR(VLOOKUP($A258,通讯录!$A:$M,6,FALSE)&amp;""),"",VLOOKUP($A258,通讯录!$A:$M,6,FALSE)&amp;"")</f>
        <v/>
      </c>
      <c r="F258" s="41" t="str">
        <f>IF(ISERROR(VLOOKUP($A258,通讯录!$A:$M,4,FALSE)&amp;""),"",VLOOKUP($A258,通讯录!$A:$M,4,FALSE)&amp;"")</f>
        <v/>
      </c>
      <c r="G258" s="41" t="str">
        <f>IF(ISERROR(VLOOKUP($A258,通讯录!$A:$M,8,FALSE)&amp;""),"",VLOOKUP($A258,通讯录!$A:$M,8,FALSE)&amp;"")</f>
        <v/>
      </c>
      <c r="H258" s="41"/>
      <c r="I258" s="41"/>
      <c r="J258" s="41"/>
      <c r="L258" s="29" t="str">
        <f t="shared" si="4"/>
        <v/>
      </c>
    </row>
    <row r="259" spans="2:12">
      <c r="B259" s="41" t="str">
        <f>IF(ISERROR(VLOOKUP($A259,通讯录!$A:$M,3,FALSE)&amp;""),"",VLOOKUP($A259,通讯录!$A:$M,3,FALSE)&amp;"")</f>
        <v/>
      </c>
      <c r="C259" s="41" t="str">
        <f>IF(ISERROR(VLOOKUP($A259,通讯录!$A:$M,7,FALSE)&amp;""),"",VLOOKUP($A259,通讯录!$A:$M,7,FALSE)&amp;"")</f>
        <v/>
      </c>
      <c r="D259" s="41" t="str">
        <f>IF(ISERROR(VLOOKUP($A259,通讯录!$A:$M,5,FALSE)&amp;""),"",VLOOKUP($A259,通讯录!$A:$M,5,FALSE)&amp;"")</f>
        <v/>
      </c>
      <c r="E259" s="41" t="str">
        <f>IF(ISERROR(VLOOKUP($A259,通讯录!$A:$M,6,FALSE)&amp;""),"",VLOOKUP($A259,通讯录!$A:$M,6,FALSE)&amp;"")</f>
        <v/>
      </c>
      <c r="F259" s="41" t="str">
        <f>IF(ISERROR(VLOOKUP($A259,通讯录!$A:$M,4,FALSE)&amp;""),"",VLOOKUP($A259,通讯录!$A:$M,4,FALSE)&amp;"")</f>
        <v/>
      </c>
      <c r="G259" s="41" t="str">
        <f>IF(ISERROR(VLOOKUP($A259,通讯录!$A:$M,8,FALSE)&amp;""),"",VLOOKUP($A259,通讯录!$A:$M,8,FALSE)&amp;"")</f>
        <v/>
      </c>
      <c r="H259" s="41"/>
      <c r="I259" s="41"/>
      <c r="J259" s="41"/>
      <c r="L259" s="29" t="str">
        <f t="shared" si="4"/>
        <v/>
      </c>
    </row>
    <row r="260" spans="2:12">
      <c r="B260" s="41" t="str">
        <f>IF(ISERROR(VLOOKUP($A260,通讯录!$A:$M,3,FALSE)&amp;""),"",VLOOKUP($A260,通讯录!$A:$M,3,FALSE)&amp;"")</f>
        <v/>
      </c>
      <c r="C260" s="41" t="str">
        <f>IF(ISERROR(VLOOKUP($A260,通讯录!$A:$M,7,FALSE)&amp;""),"",VLOOKUP($A260,通讯录!$A:$M,7,FALSE)&amp;"")</f>
        <v/>
      </c>
      <c r="D260" s="41" t="str">
        <f>IF(ISERROR(VLOOKUP($A260,通讯录!$A:$M,5,FALSE)&amp;""),"",VLOOKUP($A260,通讯录!$A:$M,5,FALSE)&amp;"")</f>
        <v/>
      </c>
      <c r="E260" s="41" t="str">
        <f>IF(ISERROR(VLOOKUP($A260,通讯录!$A:$M,6,FALSE)&amp;""),"",VLOOKUP($A260,通讯录!$A:$M,6,FALSE)&amp;"")</f>
        <v/>
      </c>
      <c r="F260" s="41" t="str">
        <f>IF(ISERROR(VLOOKUP($A260,通讯录!$A:$M,4,FALSE)&amp;""),"",VLOOKUP($A260,通讯录!$A:$M,4,FALSE)&amp;"")</f>
        <v/>
      </c>
      <c r="G260" s="41" t="str">
        <f>IF(ISERROR(VLOOKUP($A260,通讯录!$A:$M,8,FALSE)&amp;""),"",VLOOKUP($A260,通讯录!$A:$M,8,FALSE)&amp;"")</f>
        <v/>
      </c>
      <c r="H260" s="41"/>
      <c r="I260" s="41"/>
      <c r="J260" s="41"/>
      <c r="L260" s="29" t="str">
        <f t="shared" si="4"/>
        <v/>
      </c>
    </row>
    <row r="261" spans="2:12">
      <c r="B261" s="41" t="str">
        <f>IF(ISERROR(VLOOKUP($A261,通讯录!$A:$M,3,FALSE)&amp;""),"",VLOOKUP($A261,通讯录!$A:$M,3,FALSE)&amp;"")</f>
        <v/>
      </c>
      <c r="C261" s="41" t="str">
        <f>IF(ISERROR(VLOOKUP($A261,通讯录!$A:$M,7,FALSE)&amp;""),"",VLOOKUP($A261,通讯录!$A:$M,7,FALSE)&amp;"")</f>
        <v/>
      </c>
      <c r="D261" s="41" t="str">
        <f>IF(ISERROR(VLOOKUP($A261,通讯录!$A:$M,5,FALSE)&amp;""),"",VLOOKUP($A261,通讯录!$A:$M,5,FALSE)&amp;"")</f>
        <v/>
      </c>
      <c r="E261" s="41" t="str">
        <f>IF(ISERROR(VLOOKUP($A261,通讯录!$A:$M,6,FALSE)&amp;""),"",VLOOKUP($A261,通讯录!$A:$M,6,FALSE)&amp;"")</f>
        <v/>
      </c>
      <c r="F261" s="41" t="str">
        <f>IF(ISERROR(VLOOKUP($A261,通讯录!$A:$M,4,FALSE)&amp;""),"",VLOOKUP($A261,通讯录!$A:$M,4,FALSE)&amp;"")</f>
        <v/>
      </c>
      <c r="G261" s="41" t="str">
        <f>IF(ISERROR(VLOOKUP($A261,通讯录!$A:$M,8,FALSE)&amp;""),"",VLOOKUP($A261,通讯录!$A:$M,8,FALSE)&amp;"")</f>
        <v/>
      </c>
      <c r="H261" s="41"/>
      <c r="I261" s="41"/>
      <c r="J261" s="41"/>
      <c r="L261" s="29" t="str">
        <f t="shared" si="4"/>
        <v/>
      </c>
    </row>
    <row r="262" spans="2:12">
      <c r="B262" s="41" t="str">
        <f>IF(ISERROR(VLOOKUP($A262,通讯录!$A:$M,3,FALSE)&amp;""),"",VLOOKUP($A262,通讯录!$A:$M,3,FALSE)&amp;"")</f>
        <v/>
      </c>
      <c r="C262" s="41" t="str">
        <f>IF(ISERROR(VLOOKUP($A262,通讯录!$A:$M,7,FALSE)&amp;""),"",VLOOKUP($A262,通讯录!$A:$M,7,FALSE)&amp;"")</f>
        <v/>
      </c>
      <c r="D262" s="41" t="str">
        <f>IF(ISERROR(VLOOKUP($A262,通讯录!$A:$M,5,FALSE)&amp;""),"",VLOOKUP($A262,通讯录!$A:$M,5,FALSE)&amp;"")</f>
        <v/>
      </c>
      <c r="E262" s="41" t="str">
        <f>IF(ISERROR(VLOOKUP($A262,通讯录!$A:$M,6,FALSE)&amp;""),"",VLOOKUP($A262,通讯录!$A:$M,6,FALSE)&amp;"")</f>
        <v/>
      </c>
      <c r="F262" s="41" t="str">
        <f>IF(ISERROR(VLOOKUP($A262,通讯录!$A:$M,4,FALSE)&amp;""),"",VLOOKUP($A262,通讯录!$A:$M,4,FALSE)&amp;"")</f>
        <v/>
      </c>
      <c r="G262" s="41" t="str">
        <f>IF(ISERROR(VLOOKUP($A262,通讯录!$A:$M,8,FALSE)&amp;""),"",VLOOKUP($A262,通讯录!$A:$M,8,FALSE)&amp;"")</f>
        <v/>
      </c>
      <c r="H262" s="41"/>
      <c r="I262" s="41"/>
      <c r="J262" s="41"/>
      <c r="L262" s="29" t="str">
        <f t="shared" si="4"/>
        <v/>
      </c>
    </row>
    <row r="263" spans="2:12">
      <c r="B263" s="41" t="str">
        <f>IF(ISERROR(VLOOKUP($A263,通讯录!$A:$M,3,FALSE)&amp;""),"",VLOOKUP($A263,通讯录!$A:$M,3,FALSE)&amp;"")</f>
        <v/>
      </c>
      <c r="C263" s="41" t="str">
        <f>IF(ISERROR(VLOOKUP($A263,通讯录!$A:$M,7,FALSE)&amp;""),"",VLOOKUP($A263,通讯录!$A:$M,7,FALSE)&amp;"")</f>
        <v/>
      </c>
      <c r="D263" s="41" t="str">
        <f>IF(ISERROR(VLOOKUP($A263,通讯录!$A:$M,5,FALSE)&amp;""),"",VLOOKUP($A263,通讯录!$A:$M,5,FALSE)&amp;"")</f>
        <v/>
      </c>
      <c r="E263" s="41" t="str">
        <f>IF(ISERROR(VLOOKUP($A263,通讯录!$A:$M,6,FALSE)&amp;""),"",VLOOKUP($A263,通讯录!$A:$M,6,FALSE)&amp;"")</f>
        <v/>
      </c>
      <c r="F263" s="41" t="str">
        <f>IF(ISERROR(VLOOKUP($A263,通讯录!$A:$M,4,FALSE)&amp;""),"",VLOOKUP($A263,通讯录!$A:$M,4,FALSE)&amp;"")</f>
        <v/>
      </c>
      <c r="G263" s="41" t="str">
        <f>IF(ISERROR(VLOOKUP($A263,通讯录!$A:$M,8,FALSE)&amp;""),"",VLOOKUP($A263,通讯录!$A:$M,8,FALSE)&amp;"")</f>
        <v/>
      </c>
      <c r="H263" s="41"/>
      <c r="I263" s="41"/>
      <c r="J263" s="41"/>
      <c r="L263" s="29" t="str">
        <f t="shared" si="4"/>
        <v/>
      </c>
    </row>
    <row r="264" spans="2:12">
      <c r="B264" s="41" t="str">
        <f>IF(ISERROR(VLOOKUP($A264,通讯录!$A:$M,3,FALSE)&amp;""),"",VLOOKUP($A264,通讯录!$A:$M,3,FALSE)&amp;"")</f>
        <v/>
      </c>
      <c r="C264" s="41" t="str">
        <f>IF(ISERROR(VLOOKUP($A264,通讯录!$A:$M,7,FALSE)&amp;""),"",VLOOKUP($A264,通讯录!$A:$M,7,FALSE)&amp;"")</f>
        <v/>
      </c>
      <c r="D264" s="41" t="str">
        <f>IF(ISERROR(VLOOKUP($A264,通讯录!$A:$M,5,FALSE)&amp;""),"",VLOOKUP($A264,通讯录!$A:$M,5,FALSE)&amp;"")</f>
        <v/>
      </c>
      <c r="E264" s="41" t="str">
        <f>IF(ISERROR(VLOOKUP($A264,通讯录!$A:$M,6,FALSE)&amp;""),"",VLOOKUP($A264,通讯录!$A:$M,6,FALSE)&amp;"")</f>
        <v/>
      </c>
      <c r="F264" s="41" t="str">
        <f>IF(ISERROR(VLOOKUP($A264,通讯录!$A:$M,4,FALSE)&amp;""),"",VLOOKUP($A264,通讯录!$A:$M,4,FALSE)&amp;"")</f>
        <v/>
      </c>
      <c r="G264" s="41" t="str">
        <f>IF(ISERROR(VLOOKUP($A264,通讯录!$A:$M,8,FALSE)&amp;""),"",VLOOKUP($A264,通讯录!$A:$M,8,FALSE)&amp;"")</f>
        <v/>
      </c>
      <c r="H264" s="41"/>
      <c r="I264" s="41"/>
      <c r="J264" s="41"/>
      <c r="L264" s="29" t="str">
        <f t="shared" si="4"/>
        <v/>
      </c>
    </row>
    <row r="265" spans="2:12">
      <c r="B265" s="41" t="str">
        <f>IF(ISERROR(VLOOKUP($A265,通讯录!$A:$M,3,FALSE)&amp;""),"",VLOOKUP($A265,通讯录!$A:$M,3,FALSE)&amp;"")</f>
        <v/>
      </c>
      <c r="C265" s="41" t="str">
        <f>IF(ISERROR(VLOOKUP($A265,通讯录!$A:$M,7,FALSE)&amp;""),"",VLOOKUP($A265,通讯录!$A:$M,7,FALSE)&amp;"")</f>
        <v/>
      </c>
      <c r="D265" s="41" t="str">
        <f>IF(ISERROR(VLOOKUP($A265,通讯录!$A:$M,5,FALSE)&amp;""),"",VLOOKUP($A265,通讯录!$A:$M,5,FALSE)&amp;"")</f>
        <v/>
      </c>
      <c r="E265" s="41" t="str">
        <f>IF(ISERROR(VLOOKUP($A265,通讯录!$A:$M,6,FALSE)&amp;""),"",VLOOKUP($A265,通讯录!$A:$M,6,FALSE)&amp;"")</f>
        <v/>
      </c>
      <c r="F265" s="41" t="str">
        <f>IF(ISERROR(VLOOKUP($A265,通讯录!$A:$M,4,FALSE)&amp;""),"",VLOOKUP($A265,通讯录!$A:$M,4,FALSE)&amp;"")</f>
        <v/>
      </c>
      <c r="G265" s="41" t="str">
        <f>IF(ISERROR(VLOOKUP($A265,通讯录!$A:$M,8,FALSE)&amp;""),"",VLOOKUP($A265,通讯录!$A:$M,8,FALSE)&amp;"")</f>
        <v/>
      </c>
      <c r="H265" s="41"/>
      <c r="I265" s="41"/>
      <c r="J265" s="41"/>
      <c r="L265" s="29" t="str">
        <f t="shared" si="4"/>
        <v/>
      </c>
    </row>
    <row r="266" spans="2:12">
      <c r="B266" s="41" t="str">
        <f>IF(ISERROR(VLOOKUP($A266,通讯录!$A:$M,3,FALSE)&amp;""),"",VLOOKUP($A266,通讯录!$A:$M,3,FALSE)&amp;"")</f>
        <v/>
      </c>
      <c r="C266" s="41" t="str">
        <f>IF(ISERROR(VLOOKUP($A266,通讯录!$A:$M,7,FALSE)&amp;""),"",VLOOKUP($A266,通讯录!$A:$M,7,FALSE)&amp;"")</f>
        <v/>
      </c>
      <c r="D266" s="41" t="str">
        <f>IF(ISERROR(VLOOKUP($A266,通讯录!$A:$M,5,FALSE)&amp;""),"",VLOOKUP($A266,通讯录!$A:$M,5,FALSE)&amp;"")</f>
        <v/>
      </c>
      <c r="E266" s="41" t="str">
        <f>IF(ISERROR(VLOOKUP($A266,通讯录!$A:$M,6,FALSE)&amp;""),"",VLOOKUP($A266,通讯录!$A:$M,6,FALSE)&amp;"")</f>
        <v/>
      </c>
      <c r="F266" s="41" t="str">
        <f>IF(ISERROR(VLOOKUP($A266,通讯录!$A:$M,4,FALSE)&amp;""),"",VLOOKUP($A266,通讯录!$A:$M,4,FALSE)&amp;"")</f>
        <v/>
      </c>
      <c r="G266" s="41" t="str">
        <f>IF(ISERROR(VLOOKUP($A266,通讯录!$A:$M,8,FALSE)&amp;""),"",VLOOKUP($A266,通讯录!$A:$M,8,FALSE)&amp;"")</f>
        <v/>
      </c>
      <c r="H266" s="41"/>
      <c r="I266" s="41"/>
      <c r="J266" s="41"/>
      <c r="L266" s="29" t="str">
        <f t="shared" si="4"/>
        <v/>
      </c>
    </row>
    <row r="267" spans="2:12">
      <c r="B267" s="41" t="str">
        <f>IF(ISERROR(VLOOKUP($A267,通讯录!$A:$M,3,FALSE)&amp;""),"",VLOOKUP($A267,通讯录!$A:$M,3,FALSE)&amp;"")</f>
        <v/>
      </c>
      <c r="C267" s="41" t="str">
        <f>IF(ISERROR(VLOOKUP($A267,通讯录!$A:$M,7,FALSE)&amp;""),"",VLOOKUP($A267,通讯录!$A:$M,7,FALSE)&amp;"")</f>
        <v/>
      </c>
      <c r="D267" s="41" t="str">
        <f>IF(ISERROR(VLOOKUP($A267,通讯录!$A:$M,5,FALSE)&amp;""),"",VLOOKUP($A267,通讯录!$A:$M,5,FALSE)&amp;"")</f>
        <v/>
      </c>
      <c r="E267" s="41" t="str">
        <f>IF(ISERROR(VLOOKUP($A267,通讯录!$A:$M,6,FALSE)&amp;""),"",VLOOKUP($A267,通讯录!$A:$M,6,FALSE)&amp;"")</f>
        <v/>
      </c>
      <c r="F267" s="41" t="str">
        <f>IF(ISERROR(VLOOKUP($A267,通讯录!$A:$M,4,FALSE)&amp;""),"",VLOOKUP($A267,通讯录!$A:$M,4,FALSE)&amp;"")</f>
        <v/>
      </c>
      <c r="G267" s="41" t="str">
        <f>IF(ISERROR(VLOOKUP($A267,通讯录!$A:$M,8,FALSE)&amp;""),"",VLOOKUP($A267,通讯录!$A:$M,8,FALSE)&amp;"")</f>
        <v/>
      </c>
      <c r="H267" s="41"/>
      <c r="I267" s="41"/>
      <c r="J267" s="41"/>
      <c r="L267" s="29" t="str">
        <f t="shared" si="4"/>
        <v/>
      </c>
    </row>
    <row r="268" spans="2:12">
      <c r="B268" s="41" t="str">
        <f>IF(ISERROR(VLOOKUP($A268,通讯录!$A:$M,3,FALSE)&amp;""),"",VLOOKUP($A268,通讯录!$A:$M,3,FALSE)&amp;"")</f>
        <v/>
      </c>
      <c r="C268" s="41" t="str">
        <f>IF(ISERROR(VLOOKUP($A268,通讯录!$A:$M,7,FALSE)&amp;""),"",VLOOKUP($A268,通讯录!$A:$M,7,FALSE)&amp;"")</f>
        <v/>
      </c>
      <c r="D268" s="41" t="str">
        <f>IF(ISERROR(VLOOKUP($A268,通讯录!$A:$M,5,FALSE)&amp;""),"",VLOOKUP($A268,通讯录!$A:$M,5,FALSE)&amp;"")</f>
        <v/>
      </c>
      <c r="E268" s="41" t="str">
        <f>IF(ISERROR(VLOOKUP($A268,通讯录!$A:$M,6,FALSE)&amp;""),"",VLOOKUP($A268,通讯录!$A:$M,6,FALSE)&amp;"")</f>
        <v/>
      </c>
      <c r="F268" s="41" t="str">
        <f>IF(ISERROR(VLOOKUP($A268,通讯录!$A:$M,4,FALSE)&amp;""),"",VLOOKUP($A268,通讯录!$A:$M,4,FALSE)&amp;"")</f>
        <v/>
      </c>
      <c r="G268" s="41" t="str">
        <f>IF(ISERROR(VLOOKUP($A268,通讯录!$A:$M,8,FALSE)&amp;""),"",VLOOKUP($A268,通讯录!$A:$M,8,FALSE)&amp;"")</f>
        <v/>
      </c>
      <c r="H268" s="41"/>
      <c r="I268" s="41"/>
      <c r="J268" s="41"/>
      <c r="L268" s="29" t="str">
        <f t="shared" si="4"/>
        <v/>
      </c>
    </row>
    <row r="269" spans="2:12">
      <c r="B269" s="41" t="str">
        <f>IF(ISERROR(VLOOKUP($A269,通讯录!$A:$M,3,FALSE)&amp;""),"",VLOOKUP($A269,通讯录!$A:$M,3,FALSE)&amp;"")</f>
        <v/>
      </c>
      <c r="C269" s="41" t="str">
        <f>IF(ISERROR(VLOOKUP($A269,通讯录!$A:$M,7,FALSE)&amp;""),"",VLOOKUP($A269,通讯录!$A:$M,7,FALSE)&amp;"")</f>
        <v/>
      </c>
      <c r="D269" s="41" t="str">
        <f>IF(ISERROR(VLOOKUP($A269,通讯录!$A:$M,5,FALSE)&amp;""),"",VLOOKUP($A269,通讯录!$A:$M,5,FALSE)&amp;"")</f>
        <v/>
      </c>
      <c r="E269" s="41" t="str">
        <f>IF(ISERROR(VLOOKUP($A269,通讯录!$A:$M,6,FALSE)&amp;""),"",VLOOKUP($A269,通讯录!$A:$M,6,FALSE)&amp;"")</f>
        <v/>
      </c>
      <c r="F269" s="41" t="str">
        <f>IF(ISERROR(VLOOKUP($A269,通讯录!$A:$M,4,FALSE)&amp;""),"",VLOOKUP($A269,通讯录!$A:$M,4,FALSE)&amp;"")</f>
        <v/>
      </c>
      <c r="G269" s="41" t="str">
        <f>IF(ISERROR(VLOOKUP($A269,通讯录!$A:$M,8,FALSE)&amp;""),"",VLOOKUP($A269,通讯录!$A:$M,8,FALSE)&amp;"")</f>
        <v/>
      </c>
      <c r="H269" s="41"/>
      <c r="I269" s="41"/>
      <c r="J269" s="41"/>
      <c r="L269" s="29" t="str">
        <f t="shared" si="4"/>
        <v/>
      </c>
    </row>
    <row r="270" spans="2:12">
      <c r="B270" s="41" t="str">
        <f>IF(ISERROR(VLOOKUP($A270,通讯录!$A:$M,3,FALSE)&amp;""),"",VLOOKUP($A270,通讯录!$A:$M,3,FALSE)&amp;"")</f>
        <v/>
      </c>
      <c r="C270" s="41" t="str">
        <f>IF(ISERROR(VLOOKUP($A270,通讯录!$A:$M,7,FALSE)&amp;""),"",VLOOKUP($A270,通讯录!$A:$M,7,FALSE)&amp;"")</f>
        <v/>
      </c>
      <c r="D270" s="41" t="str">
        <f>IF(ISERROR(VLOOKUP($A270,通讯录!$A:$M,5,FALSE)&amp;""),"",VLOOKUP($A270,通讯录!$A:$M,5,FALSE)&amp;"")</f>
        <v/>
      </c>
      <c r="E270" s="41" t="str">
        <f>IF(ISERROR(VLOOKUP($A270,通讯录!$A:$M,6,FALSE)&amp;""),"",VLOOKUP($A270,通讯录!$A:$M,6,FALSE)&amp;"")</f>
        <v/>
      </c>
      <c r="F270" s="41" t="str">
        <f>IF(ISERROR(VLOOKUP($A270,通讯录!$A:$M,4,FALSE)&amp;""),"",VLOOKUP($A270,通讯录!$A:$M,4,FALSE)&amp;"")</f>
        <v/>
      </c>
      <c r="G270" s="41" t="str">
        <f>IF(ISERROR(VLOOKUP($A270,通讯录!$A:$M,8,FALSE)&amp;""),"",VLOOKUP($A270,通讯录!$A:$M,8,FALSE)&amp;"")</f>
        <v/>
      </c>
      <c r="H270" s="41"/>
      <c r="I270" s="41"/>
      <c r="J270" s="41"/>
      <c r="L270" s="29" t="str">
        <f t="shared" si="4"/>
        <v/>
      </c>
    </row>
    <row r="271" spans="2:12">
      <c r="B271" s="41" t="str">
        <f>IF(ISERROR(VLOOKUP($A271,通讯录!$A:$M,3,FALSE)&amp;""),"",VLOOKUP($A271,通讯录!$A:$M,3,FALSE)&amp;"")</f>
        <v/>
      </c>
      <c r="C271" s="41" t="str">
        <f>IF(ISERROR(VLOOKUP($A271,通讯录!$A:$M,7,FALSE)&amp;""),"",VLOOKUP($A271,通讯录!$A:$M,7,FALSE)&amp;"")</f>
        <v/>
      </c>
      <c r="D271" s="41" t="str">
        <f>IF(ISERROR(VLOOKUP($A271,通讯录!$A:$M,5,FALSE)&amp;""),"",VLOOKUP($A271,通讯录!$A:$M,5,FALSE)&amp;"")</f>
        <v/>
      </c>
      <c r="E271" s="41" t="str">
        <f>IF(ISERROR(VLOOKUP($A271,通讯录!$A:$M,6,FALSE)&amp;""),"",VLOOKUP($A271,通讯录!$A:$M,6,FALSE)&amp;"")</f>
        <v/>
      </c>
      <c r="F271" s="41" t="str">
        <f>IF(ISERROR(VLOOKUP($A271,通讯录!$A:$M,4,FALSE)&amp;""),"",VLOOKUP($A271,通讯录!$A:$M,4,FALSE)&amp;"")</f>
        <v/>
      </c>
      <c r="G271" s="41" t="str">
        <f>IF(ISERROR(VLOOKUP($A271,通讯录!$A:$M,8,FALSE)&amp;""),"",VLOOKUP($A271,通讯录!$A:$M,8,FALSE)&amp;"")</f>
        <v/>
      </c>
      <c r="H271" s="41"/>
      <c r="I271" s="41"/>
      <c r="J271" s="41"/>
      <c r="L271" s="29" t="str">
        <f t="shared" si="4"/>
        <v/>
      </c>
    </row>
    <row r="272" spans="2:12">
      <c r="B272" s="41" t="str">
        <f>IF(ISERROR(VLOOKUP($A272,通讯录!$A:$M,3,FALSE)&amp;""),"",VLOOKUP($A272,通讯录!$A:$M,3,FALSE)&amp;"")</f>
        <v/>
      </c>
      <c r="C272" s="41" t="str">
        <f>IF(ISERROR(VLOOKUP($A272,通讯录!$A:$M,7,FALSE)&amp;""),"",VLOOKUP($A272,通讯录!$A:$M,7,FALSE)&amp;"")</f>
        <v/>
      </c>
      <c r="D272" s="41" t="str">
        <f>IF(ISERROR(VLOOKUP($A272,通讯录!$A:$M,5,FALSE)&amp;""),"",VLOOKUP($A272,通讯录!$A:$M,5,FALSE)&amp;"")</f>
        <v/>
      </c>
      <c r="E272" s="41" t="str">
        <f>IF(ISERROR(VLOOKUP($A272,通讯录!$A:$M,6,FALSE)&amp;""),"",VLOOKUP($A272,通讯录!$A:$M,6,FALSE)&amp;"")</f>
        <v/>
      </c>
      <c r="F272" s="41" t="str">
        <f>IF(ISERROR(VLOOKUP($A272,通讯录!$A:$M,4,FALSE)&amp;""),"",VLOOKUP($A272,通讯录!$A:$M,4,FALSE)&amp;"")</f>
        <v/>
      </c>
      <c r="G272" s="41" t="str">
        <f>IF(ISERROR(VLOOKUP($A272,通讯录!$A:$M,8,FALSE)&amp;""),"",VLOOKUP($A272,通讯录!$A:$M,8,FALSE)&amp;"")</f>
        <v/>
      </c>
      <c r="H272" s="41"/>
      <c r="I272" s="41"/>
      <c r="J272" s="41"/>
      <c r="L272" s="29" t="str">
        <f t="shared" si="4"/>
        <v/>
      </c>
    </row>
    <row r="273" spans="2:12">
      <c r="B273" s="41" t="str">
        <f>IF(ISERROR(VLOOKUP($A273,通讯录!$A:$M,3,FALSE)&amp;""),"",VLOOKUP($A273,通讯录!$A:$M,3,FALSE)&amp;"")</f>
        <v/>
      </c>
      <c r="C273" s="41" t="str">
        <f>IF(ISERROR(VLOOKUP($A273,通讯录!$A:$M,7,FALSE)&amp;""),"",VLOOKUP($A273,通讯录!$A:$M,7,FALSE)&amp;"")</f>
        <v/>
      </c>
      <c r="D273" s="41" t="str">
        <f>IF(ISERROR(VLOOKUP($A273,通讯录!$A:$M,5,FALSE)&amp;""),"",VLOOKUP($A273,通讯录!$A:$M,5,FALSE)&amp;"")</f>
        <v/>
      </c>
      <c r="E273" s="41" t="str">
        <f>IF(ISERROR(VLOOKUP($A273,通讯录!$A:$M,6,FALSE)&amp;""),"",VLOOKUP($A273,通讯录!$A:$M,6,FALSE)&amp;"")</f>
        <v/>
      </c>
      <c r="F273" s="41" t="str">
        <f>IF(ISERROR(VLOOKUP($A273,通讯录!$A:$M,4,FALSE)&amp;""),"",VLOOKUP($A273,通讯录!$A:$M,4,FALSE)&amp;"")</f>
        <v/>
      </c>
      <c r="G273" s="41" t="str">
        <f>IF(ISERROR(VLOOKUP($A273,通讯录!$A:$M,8,FALSE)&amp;""),"",VLOOKUP($A273,通讯录!$A:$M,8,FALSE)&amp;"")</f>
        <v/>
      </c>
      <c r="H273" s="41"/>
      <c r="I273" s="41"/>
      <c r="J273" s="41"/>
      <c r="L273" s="29" t="str">
        <f t="shared" si="4"/>
        <v/>
      </c>
    </row>
    <row r="274" spans="2:12">
      <c r="B274" s="41" t="str">
        <f>IF(ISERROR(VLOOKUP($A274,通讯录!$A:$M,3,FALSE)&amp;""),"",VLOOKUP($A274,通讯录!$A:$M,3,FALSE)&amp;"")</f>
        <v/>
      </c>
      <c r="C274" s="41" t="str">
        <f>IF(ISERROR(VLOOKUP($A274,通讯录!$A:$M,7,FALSE)&amp;""),"",VLOOKUP($A274,通讯录!$A:$M,7,FALSE)&amp;"")</f>
        <v/>
      </c>
      <c r="D274" s="41" t="str">
        <f>IF(ISERROR(VLOOKUP($A274,通讯录!$A:$M,5,FALSE)&amp;""),"",VLOOKUP($A274,通讯录!$A:$M,5,FALSE)&amp;"")</f>
        <v/>
      </c>
      <c r="E274" s="41" t="str">
        <f>IF(ISERROR(VLOOKUP($A274,通讯录!$A:$M,6,FALSE)&amp;""),"",VLOOKUP($A274,通讯录!$A:$M,6,FALSE)&amp;"")</f>
        <v/>
      </c>
      <c r="F274" s="41" t="str">
        <f>IF(ISERROR(VLOOKUP($A274,通讯录!$A:$M,4,FALSE)&amp;""),"",VLOOKUP($A274,通讯录!$A:$M,4,FALSE)&amp;"")</f>
        <v/>
      </c>
      <c r="G274" s="41" t="str">
        <f>IF(ISERROR(VLOOKUP($A274,通讯录!$A:$M,8,FALSE)&amp;""),"",VLOOKUP($A274,通讯录!$A:$M,8,FALSE)&amp;"")</f>
        <v/>
      </c>
      <c r="H274" s="41"/>
      <c r="I274" s="41"/>
      <c r="J274" s="41"/>
      <c r="L274" s="29" t="str">
        <f t="shared" si="4"/>
        <v/>
      </c>
    </row>
    <row r="275" spans="2:12">
      <c r="B275" s="41" t="str">
        <f>IF(ISERROR(VLOOKUP($A275,通讯录!$A:$M,3,FALSE)&amp;""),"",VLOOKUP($A275,通讯录!$A:$M,3,FALSE)&amp;"")</f>
        <v/>
      </c>
      <c r="C275" s="41" t="str">
        <f>IF(ISERROR(VLOOKUP($A275,通讯录!$A:$M,7,FALSE)&amp;""),"",VLOOKUP($A275,通讯录!$A:$M,7,FALSE)&amp;"")</f>
        <v/>
      </c>
      <c r="D275" s="41" t="str">
        <f>IF(ISERROR(VLOOKUP($A275,通讯录!$A:$M,5,FALSE)&amp;""),"",VLOOKUP($A275,通讯录!$A:$M,5,FALSE)&amp;"")</f>
        <v/>
      </c>
      <c r="E275" s="41" t="str">
        <f>IF(ISERROR(VLOOKUP($A275,通讯录!$A:$M,6,FALSE)&amp;""),"",VLOOKUP($A275,通讯录!$A:$M,6,FALSE)&amp;"")</f>
        <v/>
      </c>
      <c r="F275" s="41" t="str">
        <f>IF(ISERROR(VLOOKUP($A275,通讯录!$A:$M,4,FALSE)&amp;""),"",VLOOKUP($A275,通讯录!$A:$M,4,FALSE)&amp;"")</f>
        <v/>
      </c>
      <c r="G275" s="41" t="str">
        <f>IF(ISERROR(VLOOKUP($A275,通讯录!$A:$M,8,FALSE)&amp;""),"",VLOOKUP($A275,通讯录!$A:$M,8,FALSE)&amp;"")</f>
        <v/>
      </c>
      <c r="H275" s="41"/>
      <c r="I275" s="41"/>
      <c r="J275" s="41"/>
      <c r="L275" s="29" t="str">
        <f t="shared" si="4"/>
        <v/>
      </c>
    </row>
    <row r="276" spans="2:12">
      <c r="B276" s="41" t="str">
        <f>IF(ISERROR(VLOOKUP($A276,通讯录!$A:$M,3,FALSE)&amp;""),"",VLOOKUP($A276,通讯录!$A:$M,3,FALSE)&amp;"")</f>
        <v/>
      </c>
      <c r="C276" s="41" t="str">
        <f>IF(ISERROR(VLOOKUP($A276,通讯录!$A:$M,7,FALSE)&amp;""),"",VLOOKUP($A276,通讯录!$A:$M,7,FALSE)&amp;"")</f>
        <v/>
      </c>
      <c r="D276" s="41" t="str">
        <f>IF(ISERROR(VLOOKUP($A276,通讯录!$A:$M,5,FALSE)&amp;""),"",VLOOKUP($A276,通讯录!$A:$M,5,FALSE)&amp;"")</f>
        <v/>
      </c>
      <c r="E276" s="41" t="str">
        <f>IF(ISERROR(VLOOKUP($A276,通讯录!$A:$M,6,FALSE)&amp;""),"",VLOOKUP($A276,通讯录!$A:$M,6,FALSE)&amp;"")</f>
        <v/>
      </c>
      <c r="F276" s="41" t="str">
        <f>IF(ISERROR(VLOOKUP($A276,通讯录!$A:$M,4,FALSE)&amp;""),"",VLOOKUP($A276,通讯录!$A:$M,4,FALSE)&amp;"")</f>
        <v/>
      </c>
      <c r="G276" s="41" t="str">
        <f>IF(ISERROR(VLOOKUP($A276,通讯录!$A:$M,8,FALSE)&amp;""),"",VLOOKUP($A276,通讯录!$A:$M,8,FALSE)&amp;"")</f>
        <v/>
      </c>
      <c r="H276" s="41"/>
      <c r="I276" s="41"/>
      <c r="J276" s="41"/>
      <c r="L276" s="29" t="str">
        <f t="shared" si="4"/>
        <v/>
      </c>
    </row>
    <row r="277" spans="2:12">
      <c r="B277" s="41" t="str">
        <f>IF(ISERROR(VLOOKUP($A277,通讯录!$A:$M,3,FALSE)&amp;""),"",VLOOKUP($A277,通讯录!$A:$M,3,FALSE)&amp;"")</f>
        <v/>
      </c>
      <c r="C277" s="41" t="str">
        <f>IF(ISERROR(VLOOKUP($A277,通讯录!$A:$M,7,FALSE)&amp;""),"",VLOOKUP($A277,通讯录!$A:$M,7,FALSE)&amp;"")</f>
        <v/>
      </c>
      <c r="D277" s="41" t="str">
        <f>IF(ISERROR(VLOOKUP($A277,通讯录!$A:$M,5,FALSE)&amp;""),"",VLOOKUP($A277,通讯录!$A:$M,5,FALSE)&amp;"")</f>
        <v/>
      </c>
      <c r="E277" s="41" t="str">
        <f>IF(ISERROR(VLOOKUP($A277,通讯录!$A:$M,6,FALSE)&amp;""),"",VLOOKUP($A277,通讯录!$A:$M,6,FALSE)&amp;"")</f>
        <v/>
      </c>
      <c r="F277" s="41" t="str">
        <f>IF(ISERROR(VLOOKUP($A277,通讯录!$A:$M,4,FALSE)&amp;""),"",VLOOKUP($A277,通讯录!$A:$M,4,FALSE)&amp;"")</f>
        <v/>
      </c>
      <c r="G277" s="41" t="str">
        <f>IF(ISERROR(VLOOKUP($A277,通讯录!$A:$M,8,FALSE)&amp;""),"",VLOOKUP($A277,通讯录!$A:$M,8,FALSE)&amp;"")</f>
        <v/>
      </c>
      <c r="H277" s="41"/>
      <c r="I277" s="41"/>
      <c r="J277" s="41"/>
      <c r="L277" s="29" t="str">
        <f t="shared" si="4"/>
        <v/>
      </c>
    </row>
    <row r="278" spans="2:12">
      <c r="B278" s="41" t="str">
        <f>IF(ISERROR(VLOOKUP($A278,通讯录!$A:$M,3,FALSE)&amp;""),"",VLOOKUP($A278,通讯录!$A:$M,3,FALSE)&amp;"")</f>
        <v/>
      </c>
      <c r="C278" s="41" t="str">
        <f>IF(ISERROR(VLOOKUP($A278,通讯录!$A:$M,7,FALSE)&amp;""),"",VLOOKUP($A278,通讯录!$A:$M,7,FALSE)&amp;"")</f>
        <v/>
      </c>
      <c r="D278" s="41" t="str">
        <f>IF(ISERROR(VLOOKUP($A278,通讯录!$A:$M,5,FALSE)&amp;""),"",VLOOKUP($A278,通讯录!$A:$M,5,FALSE)&amp;"")</f>
        <v/>
      </c>
      <c r="E278" s="41" t="str">
        <f>IF(ISERROR(VLOOKUP($A278,通讯录!$A:$M,6,FALSE)&amp;""),"",VLOOKUP($A278,通讯录!$A:$M,6,FALSE)&amp;"")</f>
        <v/>
      </c>
      <c r="F278" s="41" t="str">
        <f>IF(ISERROR(VLOOKUP($A278,通讯录!$A:$M,4,FALSE)&amp;""),"",VLOOKUP($A278,通讯录!$A:$M,4,FALSE)&amp;"")</f>
        <v/>
      </c>
      <c r="G278" s="41" t="str">
        <f>IF(ISERROR(VLOOKUP($A278,通讯录!$A:$M,8,FALSE)&amp;""),"",VLOOKUP($A278,通讯录!$A:$M,8,FALSE)&amp;"")</f>
        <v/>
      </c>
      <c r="H278" s="41"/>
      <c r="I278" s="41"/>
      <c r="J278" s="41"/>
      <c r="L278" s="29" t="str">
        <f t="shared" si="4"/>
        <v/>
      </c>
    </row>
    <row r="279" spans="2:12">
      <c r="B279" s="41" t="str">
        <f>IF(ISERROR(VLOOKUP($A279,通讯录!$A:$M,3,FALSE)&amp;""),"",VLOOKUP($A279,通讯录!$A:$M,3,FALSE)&amp;"")</f>
        <v/>
      </c>
      <c r="C279" s="41" t="str">
        <f>IF(ISERROR(VLOOKUP($A279,通讯录!$A:$M,7,FALSE)&amp;""),"",VLOOKUP($A279,通讯录!$A:$M,7,FALSE)&amp;"")</f>
        <v/>
      </c>
      <c r="D279" s="41" t="str">
        <f>IF(ISERROR(VLOOKUP($A279,通讯录!$A:$M,5,FALSE)&amp;""),"",VLOOKUP($A279,通讯录!$A:$M,5,FALSE)&amp;"")</f>
        <v/>
      </c>
      <c r="E279" s="41" t="str">
        <f>IF(ISERROR(VLOOKUP($A279,通讯录!$A:$M,6,FALSE)&amp;""),"",VLOOKUP($A279,通讯录!$A:$M,6,FALSE)&amp;"")</f>
        <v/>
      </c>
      <c r="F279" s="41" t="str">
        <f>IF(ISERROR(VLOOKUP($A279,通讯录!$A:$M,4,FALSE)&amp;""),"",VLOOKUP($A279,通讯录!$A:$M,4,FALSE)&amp;"")</f>
        <v/>
      </c>
      <c r="G279" s="41" t="str">
        <f>IF(ISERROR(VLOOKUP($A279,通讯录!$A:$M,8,FALSE)&amp;""),"",VLOOKUP($A279,通讯录!$A:$M,8,FALSE)&amp;"")</f>
        <v/>
      </c>
      <c r="H279" s="41"/>
      <c r="I279" s="41"/>
      <c r="J279" s="41"/>
      <c r="L279" s="29" t="str">
        <f t="shared" si="4"/>
        <v/>
      </c>
    </row>
    <row r="280" spans="2:12">
      <c r="B280" s="41" t="str">
        <f>IF(ISERROR(VLOOKUP($A280,通讯录!$A:$M,3,FALSE)&amp;""),"",VLOOKUP($A280,通讯录!$A:$M,3,FALSE)&amp;"")</f>
        <v/>
      </c>
      <c r="C280" s="41" t="str">
        <f>IF(ISERROR(VLOOKUP($A280,通讯录!$A:$M,7,FALSE)&amp;""),"",VLOOKUP($A280,通讯录!$A:$M,7,FALSE)&amp;"")</f>
        <v/>
      </c>
      <c r="D280" s="41" t="str">
        <f>IF(ISERROR(VLOOKUP($A280,通讯录!$A:$M,5,FALSE)&amp;""),"",VLOOKUP($A280,通讯录!$A:$M,5,FALSE)&amp;"")</f>
        <v/>
      </c>
      <c r="E280" s="41" t="str">
        <f>IF(ISERROR(VLOOKUP($A280,通讯录!$A:$M,6,FALSE)&amp;""),"",VLOOKUP($A280,通讯录!$A:$M,6,FALSE)&amp;"")</f>
        <v/>
      </c>
      <c r="F280" s="41" t="str">
        <f>IF(ISERROR(VLOOKUP($A280,通讯录!$A:$M,4,FALSE)&amp;""),"",VLOOKUP($A280,通讯录!$A:$M,4,FALSE)&amp;"")</f>
        <v/>
      </c>
      <c r="G280" s="41" t="str">
        <f>IF(ISERROR(VLOOKUP($A280,通讯录!$A:$M,8,FALSE)&amp;""),"",VLOOKUP($A280,通讯录!$A:$M,8,FALSE)&amp;"")</f>
        <v/>
      </c>
      <c r="H280" s="41"/>
      <c r="I280" s="41"/>
      <c r="J280" s="41"/>
      <c r="L280" s="29" t="str">
        <f t="shared" si="4"/>
        <v/>
      </c>
    </row>
    <row r="281" spans="2:12">
      <c r="B281" s="41" t="str">
        <f>IF(ISERROR(VLOOKUP($A281,通讯录!$A:$M,3,FALSE)&amp;""),"",VLOOKUP($A281,通讯录!$A:$M,3,FALSE)&amp;"")</f>
        <v/>
      </c>
      <c r="C281" s="41" t="str">
        <f>IF(ISERROR(VLOOKUP($A281,通讯录!$A:$M,7,FALSE)&amp;""),"",VLOOKUP($A281,通讯录!$A:$M,7,FALSE)&amp;"")</f>
        <v/>
      </c>
      <c r="D281" s="41" t="str">
        <f>IF(ISERROR(VLOOKUP($A281,通讯录!$A:$M,5,FALSE)&amp;""),"",VLOOKUP($A281,通讯录!$A:$M,5,FALSE)&amp;"")</f>
        <v/>
      </c>
      <c r="E281" s="41" t="str">
        <f>IF(ISERROR(VLOOKUP($A281,通讯录!$A:$M,6,FALSE)&amp;""),"",VLOOKUP($A281,通讯录!$A:$M,6,FALSE)&amp;"")</f>
        <v/>
      </c>
      <c r="F281" s="41" t="str">
        <f>IF(ISERROR(VLOOKUP($A281,通讯录!$A:$M,4,FALSE)&amp;""),"",VLOOKUP($A281,通讯录!$A:$M,4,FALSE)&amp;"")</f>
        <v/>
      </c>
      <c r="G281" s="41" t="str">
        <f>IF(ISERROR(VLOOKUP($A281,通讯录!$A:$M,8,FALSE)&amp;""),"",VLOOKUP($A281,通讯录!$A:$M,8,FALSE)&amp;"")</f>
        <v/>
      </c>
      <c r="H281" s="41"/>
      <c r="I281" s="41"/>
      <c r="J281" s="41"/>
      <c r="L281" s="29" t="str">
        <f t="shared" si="4"/>
        <v/>
      </c>
    </row>
    <row r="282" spans="2:12">
      <c r="B282" s="41" t="str">
        <f>IF(ISERROR(VLOOKUP($A282,通讯录!$A:$M,3,FALSE)&amp;""),"",VLOOKUP($A282,通讯录!$A:$M,3,FALSE)&amp;"")</f>
        <v/>
      </c>
      <c r="C282" s="41" t="str">
        <f>IF(ISERROR(VLOOKUP($A282,通讯录!$A:$M,7,FALSE)&amp;""),"",VLOOKUP($A282,通讯录!$A:$M,7,FALSE)&amp;"")</f>
        <v/>
      </c>
      <c r="D282" s="41" t="str">
        <f>IF(ISERROR(VLOOKUP($A282,通讯录!$A:$M,5,FALSE)&amp;""),"",VLOOKUP($A282,通讯录!$A:$M,5,FALSE)&amp;"")</f>
        <v/>
      </c>
      <c r="E282" s="41" t="str">
        <f>IF(ISERROR(VLOOKUP($A282,通讯录!$A:$M,6,FALSE)&amp;""),"",VLOOKUP($A282,通讯录!$A:$M,6,FALSE)&amp;"")</f>
        <v/>
      </c>
      <c r="F282" s="41" t="str">
        <f>IF(ISERROR(VLOOKUP($A282,通讯录!$A:$M,4,FALSE)&amp;""),"",VLOOKUP($A282,通讯录!$A:$M,4,FALSE)&amp;"")</f>
        <v/>
      </c>
      <c r="G282" s="41" t="str">
        <f>IF(ISERROR(VLOOKUP($A282,通讯录!$A:$M,8,FALSE)&amp;""),"",VLOOKUP($A282,通讯录!$A:$M,8,FALSE)&amp;"")</f>
        <v/>
      </c>
      <c r="H282" s="41"/>
      <c r="I282" s="41"/>
      <c r="J282" s="41"/>
      <c r="L282" s="29" t="str">
        <f t="shared" si="4"/>
        <v/>
      </c>
    </row>
    <row r="283" spans="2:12">
      <c r="B283" s="41" t="str">
        <f>IF(ISERROR(VLOOKUP($A283,通讯录!$A:$M,3,FALSE)&amp;""),"",VLOOKUP($A283,通讯录!$A:$M,3,FALSE)&amp;"")</f>
        <v/>
      </c>
      <c r="C283" s="41" t="str">
        <f>IF(ISERROR(VLOOKUP($A283,通讯录!$A:$M,7,FALSE)&amp;""),"",VLOOKUP($A283,通讯录!$A:$M,7,FALSE)&amp;"")</f>
        <v/>
      </c>
      <c r="D283" s="41" t="str">
        <f>IF(ISERROR(VLOOKUP($A283,通讯录!$A:$M,5,FALSE)&amp;""),"",VLOOKUP($A283,通讯录!$A:$M,5,FALSE)&amp;"")</f>
        <v/>
      </c>
      <c r="E283" s="41" t="str">
        <f>IF(ISERROR(VLOOKUP($A283,通讯录!$A:$M,6,FALSE)&amp;""),"",VLOOKUP($A283,通讯录!$A:$M,6,FALSE)&amp;"")</f>
        <v/>
      </c>
      <c r="F283" s="41" t="str">
        <f>IF(ISERROR(VLOOKUP($A283,通讯录!$A:$M,4,FALSE)&amp;""),"",VLOOKUP($A283,通讯录!$A:$M,4,FALSE)&amp;"")</f>
        <v/>
      </c>
      <c r="G283" s="41" t="str">
        <f>IF(ISERROR(VLOOKUP($A283,通讯录!$A:$M,8,FALSE)&amp;""),"",VLOOKUP($A283,通讯录!$A:$M,8,FALSE)&amp;"")</f>
        <v/>
      </c>
      <c r="H283" s="41"/>
      <c r="I283" s="41"/>
      <c r="J283" s="41"/>
      <c r="L283" s="29" t="str">
        <f t="shared" si="4"/>
        <v/>
      </c>
    </row>
    <row r="284" spans="2:12">
      <c r="B284" s="41" t="str">
        <f>IF(ISERROR(VLOOKUP($A284,通讯录!$A:$M,3,FALSE)&amp;""),"",VLOOKUP($A284,通讯录!$A:$M,3,FALSE)&amp;"")</f>
        <v/>
      </c>
      <c r="C284" s="41" t="str">
        <f>IF(ISERROR(VLOOKUP($A284,通讯录!$A:$M,7,FALSE)&amp;""),"",VLOOKUP($A284,通讯录!$A:$M,7,FALSE)&amp;"")</f>
        <v/>
      </c>
      <c r="D284" s="41" t="str">
        <f>IF(ISERROR(VLOOKUP($A284,通讯录!$A:$M,5,FALSE)&amp;""),"",VLOOKUP($A284,通讯录!$A:$M,5,FALSE)&amp;"")</f>
        <v/>
      </c>
      <c r="E284" s="41" t="str">
        <f>IF(ISERROR(VLOOKUP($A284,通讯录!$A:$M,6,FALSE)&amp;""),"",VLOOKUP($A284,通讯录!$A:$M,6,FALSE)&amp;"")</f>
        <v/>
      </c>
      <c r="F284" s="41" t="str">
        <f>IF(ISERROR(VLOOKUP($A284,通讯录!$A:$M,4,FALSE)&amp;""),"",VLOOKUP($A284,通讯录!$A:$M,4,FALSE)&amp;"")</f>
        <v/>
      </c>
      <c r="G284" s="41" t="str">
        <f>IF(ISERROR(VLOOKUP($A284,通讯录!$A:$M,8,FALSE)&amp;""),"",VLOOKUP($A284,通讯录!$A:$M,8,FALSE)&amp;"")</f>
        <v/>
      </c>
      <c r="H284" s="41"/>
      <c r="I284" s="41"/>
      <c r="J284" s="41"/>
      <c r="L284" s="29" t="str">
        <f t="shared" si="4"/>
        <v/>
      </c>
    </row>
    <row r="285" spans="2:12">
      <c r="B285" s="41" t="str">
        <f>IF(ISERROR(VLOOKUP($A285,通讯录!$A:$M,3,FALSE)&amp;""),"",VLOOKUP($A285,通讯录!$A:$M,3,FALSE)&amp;"")</f>
        <v/>
      </c>
      <c r="C285" s="41" t="str">
        <f>IF(ISERROR(VLOOKUP($A285,通讯录!$A:$M,7,FALSE)&amp;""),"",VLOOKUP($A285,通讯录!$A:$M,7,FALSE)&amp;"")</f>
        <v/>
      </c>
      <c r="D285" s="41" t="str">
        <f>IF(ISERROR(VLOOKUP($A285,通讯录!$A:$M,5,FALSE)&amp;""),"",VLOOKUP($A285,通讯录!$A:$M,5,FALSE)&amp;"")</f>
        <v/>
      </c>
      <c r="E285" s="41" t="str">
        <f>IF(ISERROR(VLOOKUP($A285,通讯录!$A:$M,6,FALSE)&amp;""),"",VLOOKUP($A285,通讯录!$A:$M,6,FALSE)&amp;"")</f>
        <v/>
      </c>
      <c r="F285" s="41" t="str">
        <f>IF(ISERROR(VLOOKUP($A285,通讯录!$A:$M,4,FALSE)&amp;""),"",VLOOKUP($A285,通讯录!$A:$M,4,FALSE)&amp;"")</f>
        <v/>
      </c>
      <c r="G285" s="41" t="str">
        <f>IF(ISERROR(VLOOKUP($A285,通讯录!$A:$M,8,FALSE)&amp;""),"",VLOOKUP($A285,通讯录!$A:$M,8,FALSE)&amp;"")</f>
        <v/>
      </c>
      <c r="H285" s="41"/>
      <c r="I285" s="41"/>
      <c r="J285" s="41"/>
      <c r="L285" s="29" t="str">
        <f t="shared" si="4"/>
        <v/>
      </c>
    </row>
    <row r="286" spans="2:12">
      <c r="B286" s="41" t="str">
        <f>IF(ISERROR(VLOOKUP($A286,通讯录!$A:$M,3,FALSE)&amp;""),"",VLOOKUP($A286,通讯录!$A:$M,3,FALSE)&amp;"")</f>
        <v/>
      </c>
      <c r="C286" s="41" t="str">
        <f>IF(ISERROR(VLOOKUP($A286,通讯录!$A:$M,7,FALSE)&amp;""),"",VLOOKUP($A286,通讯录!$A:$M,7,FALSE)&amp;"")</f>
        <v/>
      </c>
      <c r="D286" s="41" t="str">
        <f>IF(ISERROR(VLOOKUP($A286,通讯录!$A:$M,5,FALSE)&amp;""),"",VLOOKUP($A286,通讯录!$A:$M,5,FALSE)&amp;"")</f>
        <v/>
      </c>
      <c r="E286" s="41" t="str">
        <f>IF(ISERROR(VLOOKUP($A286,通讯录!$A:$M,6,FALSE)&amp;""),"",VLOOKUP($A286,通讯录!$A:$M,6,FALSE)&amp;"")</f>
        <v/>
      </c>
      <c r="F286" s="41" t="str">
        <f>IF(ISERROR(VLOOKUP($A286,通讯录!$A:$M,4,FALSE)&amp;""),"",VLOOKUP($A286,通讯录!$A:$M,4,FALSE)&amp;"")</f>
        <v/>
      </c>
      <c r="G286" s="41" t="str">
        <f>IF(ISERROR(VLOOKUP($A286,通讯录!$A:$M,8,FALSE)&amp;""),"",VLOOKUP($A286,通讯录!$A:$M,8,FALSE)&amp;"")</f>
        <v/>
      </c>
      <c r="H286" s="41"/>
      <c r="I286" s="41"/>
      <c r="J286" s="41"/>
      <c r="L286" s="29" t="str">
        <f t="shared" si="4"/>
        <v/>
      </c>
    </row>
    <row r="287" spans="2:12">
      <c r="B287" s="41" t="str">
        <f>IF(ISERROR(VLOOKUP($A287,通讯录!$A:$M,3,FALSE)&amp;""),"",VLOOKUP($A287,通讯录!$A:$M,3,FALSE)&amp;"")</f>
        <v/>
      </c>
      <c r="C287" s="41" t="str">
        <f>IF(ISERROR(VLOOKUP($A287,通讯录!$A:$M,7,FALSE)&amp;""),"",VLOOKUP($A287,通讯录!$A:$M,7,FALSE)&amp;"")</f>
        <v/>
      </c>
      <c r="D287" s="41" t="str">
        <f>IF(ISERROR(VLOOKUP($A287,通讯录!$A:$M,5,FALSE)&amp;""),"",VLOOKUP($A287,通讯录!$A:$M,5,FALSE)&amp;"")</f>
        <v/>
      </c>
      <c r="E287" s="41" t="str">
        <f>IF(ISERROR(VLOOKUP($A287,通讯录!$A:$M,6,FALSE)&amp;""),"",VLOOKUP($A287,通讯录!$A:$M,6,FALSE)&amp;"")</f>
        <v/>
      </c>
      <c r="F287" s="41" t="str">
        <f>IF(ISERROR(VLOOKUP($A287,通讯录!$A:$M,4,FALSE)&amp;""),"",VLOOKUP($A287,通讯录!$A:$M,4,FALSE)&amp;"")</f>
        <v/>
      </c>
      <c r="G287" s="41" t="str">
        <f>IF(ISERROR(VLOOKUP($A287,通讯录!$A:$M,8,FALSE)&amp;""),"",VLOOKUP($A287,通讯录!$A:$M,8,FALSE)&amp;"")</f>
        <v/>
      </c>
      <c r="H287" s="41"/>
      <c r="I287" s="41"/>
      <c r="J287" s="41"/>
      <c r="L287" s="29" t="str">
        <f t="shared" si="4"/>
        <v/>
      </c>
    </row>
    <row r="288" spans="2:12">
      <c r="B288" s="41" t="str">
        <f>IF(ISERROR(VLOOKUP($A288,通讯录!$A:$M,3,FALSE)&amp;""),"",VLOOKUP($A288,通讯录!$A:$M,3,FALSE)&amp;"")</f>
        <v/>
      </c>
      <c r="C288" s="41" t="str">
        <f>IF(ISERROR(VLOOKUP($A288,通讯录!$A:$M,7,FALSE)&amp;""),"",VLOOKUP($A288,通讯录!$A:$M,7,FALSE)&amp;"")</f>
        <v/>
      </c>
      <c r="D288" s="41" t="str">
        <f>IF(ISERROR(VLOOKUP($A288,通讯录!$A:$M,5,FALSE)&amp;""),"",VLOOKUP($A288,通讯录!$A:$M,5,FALSE)&amp;"")</f>
        <v/>
      </c>
      <c r="E288" s="41" t="str">
        <f>IF(ISERROR(VLOOKUP($A288,通讯录!$A:$M,6,FALSE)&amp;""),"",VLOOKUP($A288,通讯录!$A:$M,6,FALSE)&amp;"")</f>
        <v/>
      </c>
      <c r="F288" s="41" t="str">
        <f>IF(ISERROR(VLOOKUP($A288,通讯录!$A:$M,4,FALSE)&amp;""),"",VLOOKUP($A288,通讯录!$A:$M,4,FALSE)&amp;"")</f>
        <v/>
      </c>
      <c r="G288" s="41" t="str">
        <f>IF(ISERROR(VLOOKUP($A288,通讯录!$A:$M,8,FALSE)&amp;""),"",VLOOKUP($A288,通讯录!$A:$M,8,FALSE)&amp;"")</f>
        <v/>
      </c>
      <c r="H288" s="41"/>
      <c r="I288" s="41"/>
      <c r="J288" s="41"/>
      <c r="L288" s="29" t="str">
        <f t="shared" si="4"/>
        <v/>
      </c>
    </row>
    <row r="289" spans="2:12">
      <c r="B289" s="41" t="str">
        <f>IF(ISERROR(VLOOKUP($A289,通讯录!$A:$M,3,FALSE)&amp;""),"",VLOOKUP($A289,通讯录!$A:$M,3,FALSE)&amp;"")</f>
        <v/>
      </c>
      <c r="C289" s="41" t="str">
        <f>IF(ISERROR(VLOOKUP($A289,通讯录!$A:$M,7,FALSE)&amp;""),"",VLOOKUP($A289,通讯录!$A:$M,7,FALSE)&amp;"")</f>
        <v/>
      </c>
      <c r="D289" s="41" t="str">
        <f>IF(ISERROR(VLOOKUP($A289,通讯录!$A:$M,5,FALSE)&amp;""),"",VLOOKUP($A289,通讯录!$A:$M,5,FALSE)&amp;"")</f>
        <v/>
      </c>
      <c r="E289" s="41" t="str">
        <f>IF(ISERROR(VLOOKUP($A289,通讯录!$A:$M,6,FALSE)&amp;""),"",VLOOKUP($A289,通讯录!$A:$M,6,FALSE)&amp;"")</f>
        <v/>
      </c>
      <c r="F289" s="41" t="str">
        <f>IF(ISERROR(VLOOKUP($A289,通讯录!$A:$M,4,FALSE)&amp;""),"",VLOOKUP($A289,通讯录!$A:$M,4,FALSE)&amp;"")</f>
        <v/>
      </c>
      <c r="G289" s="41" t="str">
        <f>IF(ISERROR(VLOOKUP($A289,通讯录!$A:$M,8,FALSE)&amp;""),"",VLOOKUP($A289,通讯录!$A:$M,8,FALSE)&amp;"")</f>
        <v/>
      </c>
      <c r="H289" s="41"/>
      <c r="I289" s="41"/>
      <c r="J289" s="41"/>
      <c r="L289" s="29" t="str">
        <f t="shared" si="4"/>
        <v/>
      </c>
    </row>
    <row r="290" spans="2:12">
      <c r="B290" s="41" t="str">
        <f>IF(ISERROR(VLOOKUP($A290,通讯录!$A:$M,3,FALSE)&amp;""),"",VLOOKUP($A290,通讯录!$A:$M,3,FALSE)&amp;"")</f>
        <v/>
      </c>
      <c r="C290" s="41" t="str">
        <f>IF(ISERROR(VLOOKUP($A290,通讯录!$A:$M,7,FALSE)&amp;""),"",VLOOKUP($A290,通讯录!$A:$M,7,FALSE)&amp;"")</f>
        <v/>
      </c>
      <c r="D290" s="41" t="str">
        <f>IF(ISERROR(VLOOKUP($A290,通讯录!$A:$M,5,FALSE)&amp;""),"",VLOOKUP($A290,通讯录!$A:$M,5,FALSE)&amp;"")</f>
        <v/>
      </c>
      <c r="E290" s="41" t="str">
        <f>IF(ISERROR(VLOOKUP($A290,通讯录!$A:$M,6,FALSE)&amp;""),"",VLOOKUP($A290,通讯录!$A:$M,6,FALSE)&amp;"")</f>
        <v/>
      </c>
      <c r="F290" s="41" t="str">
        <f>IF(ISERROR(VLOOKUP($A290,通讯录!$A:$M,4,FALSE)&amp;""),"",VLOOKUP($A290,通讯录!$A:$M,4,FALSE)&amp;"")</f>
        <v/>
      </c>
      <c r="G290" s="41" t="str">
        <f>IF(ISERROR(VLOOKUP($A290,通讯录!$A:$M,8,FALSE)&amp;""),"",VLOOKUP($A290,通讯录!$A:$M,8,FALSE)&amp;"")</f>
        <v/>
      </c>
      <c r="H290" s="41"/>
      <c r="I290" s="41"/>
      <c r="J290" s="41"/>
      <c r="L290" s="29" t="str">
        <f t="shared" ref="L290:L336" si="5">LEFT(A290,1)</f>
        <v/>
      </c>
    </row>
    <row r="291" spans="2:12">
      <c r="B291" s="41" t="str">
        <f>IF(ISERROR(VLOOKUP($A291,通讯录!$A:$M,3,FALSE)&amp;""),"",VLOOKUP($A291,通讯录!$A:$M,3,FALSE)&amp;"")</f>
        <v/>
      </c>
      <c r="C291" s="41" t="str">
        <f>IF(ISERROR(VLOOKUP($A291,通讯录!$A:$M,7,FALSE)&amp;""),"",VLOOKUP($A291,通讯录!$A:$M,7,FALSE)&amp;"")</f>
        <v/>
      </c>
      <c r="D291" s="41" t="str">
        <f>IF(ISERROR(VLOOKUP($A291,通讯录!$A:$M,5,FALSE)&amp;""),"",VLOOKUP($A291,通讯录!$A:$M,5,FALSE)&amp;"")</f>
        <v/>
      </c>
      <c r="E291" s="41" t="str">
        <f>IF(ISERROR(VLOOKUP($A291,通讯录!$A:$M,6,FALSE)&amp;""),"",VLOOKUP($A291,通讯录!$A:$M,6,FALSE)&amp;"")</f>
        <v/>
      </c>
      <c r="F291" s="41" t="str">
        <f>IF(ISERROR(VLOOKUP($A291,通讯录!$A:$M,4,FALSE)&amp;""),"",VLOOKUP($A291,通讯录!$A:$M,4,FALSE)&amp;"")</f>
        <v/>
      </c>
      <c r="G291" s="41" t="str">
        <f>IF(ISERROR(VLOOKUP($A291,通讯录!$A:$M,8,FALSE)&amp;""),"",VLOOKUP($A291,通讯录!$A:$M,8,FALSE)&amp;"")</f>
        <v/>
      </c>
      <c r="H291" s="41"/>
      <c r="I291" s="41"/>
      <c r="J291" s="41"/>
      <c r="L291" s="29" t="str">
        <f t="shared" si="5"/>
        <v/>
      </c>
    </row>
    <row r="292" spans="2:12">
      <c r="B292" s="41" t="str">
        <f>IF(ISERROR(VLOOKUP($A292,通讯录!$A:$M,3,FALSE)&amp;""),"",VLOOKUP($A292,通讯录!$A:$M,3,FALSE)&amp;"")</f>
        <v/>
      </c>
      <c r="C292" s="41" t="str">
        <f>IF(ISERROR(VLOOKUP($A292,通讯录!$A:$M,7,FALSE)&amp;""),"",VLOOKUP($A292,通讯录!$A:$M,7,FALSE)&amp;"")</f>
        <v/>
      </c>
      <c r="D292" s="41" t="str">
        <f>IF(ISERROR(VLOOKUP($A292,通讯录!$A:$M,5,FALSE)&amp;""),"",VLOOKUP($A292,通讯录!$A:$M,5,FALSE)&amp;"")</f>
        <v/>
      </c>
      <c r="E292" s="41" t="str">
        <f>IF(ISERROR(VLOOKUP($A292,通讯录!$A:$M,6,FALSE)&amp;""),"",VLOOKUP($A292,通讯录!$A:$M,6,FALSE)&amp;"")</f>
        <v/>
      </c>
      <c r="F292" s="41" t="str">
        <f>IF(ISERROR(VLOOKUP($A292,通讯录!$A:$M,4,FALSE)&amp;""),"",VLOOKUP($A292,通讯录!$A:$M,4,FALSE)&amp;"")</f>
        <v/>
      </c>
      <c r="G292" s="41" t="str">
        <f>IF(ISERROR(VLOOKUP($A292,通讯录!$A:$M,8,FALSE)&amp;""),"",VLOOKUP($A292,通讯录!$A:$M,8,FALSE)&amp;"")</f>
        <v/>
      </c>
      <c r="H292" s="41"/>
      <c r="I292" s="41"/>
      <c r="J292" s="41"/>
      <c r="L292" s="29" t="str">
        <f t="shared" si="5"/>
        <v/>
      </c>
    </row>
    <row r="293" spans="2:12">
      <c r="B293" s="41" t="str">
        <f>IF(ISERROR(VLOOKUP($A293,通讯录!$A:$M,3,FALSE)&amp;""),"",VLOOKUP($A293,通讯录!$A:$M,3,FALSE)&amp;"")</f>
        <v/>
      </c>
      <c r="C293" s="41" t="str">
        <f>IF(ISERROR(VLOOKUP($A293,通讯录!$A:$M,7,FALSE)&amp;""),"",VLOOKUP($A293,通讯录!$A:$M,7,FALSE)&amp;"")</f>
        <v/>
      </c>
      <c r="D293" s="41" t="str">
        <f>IF(ISERROR(VLOOKUP($A293,通讯录!$A:$M,5,FALSE)&amp;""),"",VLOOKUP($A293,通讯录!$A:$M,5,FALSE)&amp;"")</f>
        <v/>
      </c>
      <c r="E293" s="41" t="str">
        <f>IF(ISERROR(VLOOKUP($A293,通讯录!$A:$M,6,FALSE)&amp;""),"",VLOOKUP($A293,通讯录!$A:$M,6,FALSE)&amp;"")</f>
        <v/>
      </c>
      <c r="F293" s="41" t="str">
        <f>IF(ISERROR(VLOOKUP($A293,通讯录!$A:$M,4,FALSE)&amp;""),"",VLOOKUP($A293,通讯录!$A:$M,4,FALSE)&amp;"")</f>
        <v/>
      </c>
      <c r="G293" s="41" t="str">
        <f>IF(ISERROR(VLOOKUP($A293,通讯录!$A:$M,8,FALSE)&amp;""),"",VLOOKUP($A293,通讯录!$A:$M,8,FALSE)&amp;"")</f>
        <v/>
      </c>
      <c r="H293" s="41"/>
      <c r="I293" s="41"/>
      <c r="J293" s="41"/>
      <c r="L293" s="29" t="str">
        <f t="shared" si="5"/>
        <v/>
      </c>
    </row>
    <row r="294" spans="2:12">
      <c r="B294" s="41" t="str">
        <f>IF(ISERROR(VLOOKUP($A294,通讯录!$A:$M,3,FALSE)&amp;""),"",VLOOKUP($A294,通讯录!$A:$M,3,FALSE)&amp;"")</f>
        <v/>
      </c>
      <c r="C294" s="41" t="str">
        <f>IF(ISERROR(VLOOKUP($A294,通讯录!$A:$M,7,FALSE)&amp;""),"",VLOOKUP($A294,通讯录!$A:$M,7,FALSE)&amp;"")</f>
        <v/>
      </c>
      <c r="D294" s="41" t="str">
        <f>IF(ISERROR(VLOOKUP($A294,通讯录!$A:$M,5,FALSE)&amp;""),"",VLOOKUP($A294,通讯录!$A:$M,5,FALSE)&amp;"")</f>
        <v/>
      </c>
      <c r="E294" s="41" t="str">
        <f>IF(ISERROR(VLOOKUP($A294,通讯录!$A:$M,6,FALSE)&amp;""),"",VLOOKUP($A294,通讯录!$A:$M,6,FALSE)&amp;"")</f>
        <v/>
      </c>
      <c r="F294" s="41" t="str">
        <f>IF(ISERROR(VLOOKUP($A294,通讯录!$A:$M,4,FALSE)&amp;""),"",VLOOKUP($A294,通讯录!$A:$M,4,FALSE)&amp;"")</f>
        <v/>
      </c>
      <c r="G294" s="41" t="str">
        <f>IF(ISERROR(VLOOKUP($A294,通讯录!$A:$M,8,FALSE)&amp;""),"",VLOOKUP($A294,通讯录!$A:$M,8,FALSE)&amp;"")</f>
        <v/>
      </c>
      <c r="H294" s="41"/>
      <c r="I294" s="41"/>
      <c r="J294" s="41"/>
      <c r="L294" s="29" t="str">
        <f t="shared" si="5"/>
        <v/>
      </c>
    </row>
    <row r="295" spans="2:12">
      <c r="B295" s="41" t="str">
        <f>IF(ISERROR(VLOOKUP($A295,通讯录!$A:$M,3,FALSE)&amp;""),"",VLOOKUP($A295,通讯录!$A:$M,3,FALSE)&amp;"")</f>
        <v/>
      </c>
      <c r="C295" s="41" t="str">
        <f>IF(ISERROR(VLOOKUP($A295,通讯录!$A:$M,7,FALSE)&amp;""),"",VLOOKUP($A295,通讯录!$A:$M,7,FALSE)&amp;"")</f>
        <v/>
      </c>
      <c r="D295" s="41" t="str">
        <f>IF(ISERROR(VLOOKUP($A295,通讯录!$A:$M,5,FALSE)&amp;""),"",VLOOKUP($A295,通讯录!$A:$M,5,FALSE)&amp;"")</f>
        <v/>
      </c>
      <c r="E295" s="41" t="str">
        <f>IF(ISERROR(VLOOKUP($A295,通讯录!$A:$M,6,FALSE)&amp;""),"",VLOOKUP($A295,通讯录!$A:$M,6,FALSE)&amp;"")</f>
        <v/>
      </c>
      <c r="F295" s="41" t="str">
        <f>IF(ISERROR(VLOOKUP($A295,通讯录!$A:$M,4,FALSE)&amp;""),"",VLOOKUP($A295,通讯录!$A:$M,4,FALSE)&amp;"")</f>
        <v/>
      </c>
      <c r="G295" s="41" t="str">
        <f>IF(ISERROR(VLOOKUP($A295,通讯录!$A:$M,8,FALSE)&amp;""),"",VLOOKUP($A295,通讯录!$A:$M,8,FALSE)&amp;"")</f>
        <v/>
      </c>
      <c r="H295" s="41"/>
      <c r="I295" s="41"/>
      <c r="J295" s="41"/>
      <c r="L295" s="29" t="str">
        <f t="shared" si="5"/>
        <v/>
      </c>
    </row>
    <row r="296" spans="2:12">
      <c r="B296" s="41" t="str">
        <f>IF(ISERROR(VLOOKUP($A296,通讯录!$A:$M,3,FALSE)&amp;""),"",VLOOKUP($A296,通讯录!$A:$M,3,FALSE)&amp;"")</f>
        <v/>
      </c>
      <c r="C296" s="41" t="str">
        <f>IF(ISERROR(VLOOKUP($A296,通讯录!$A:$M,7,FALSE)&amp;""),"",VLOOKUP($A296,通讯录!$A:$M,7,FALSE)&amp;"")</f>
        <v/>
      </c>
      <c r="D296" s="41" t="str">
        <f>IF(ISERROR(VLOOKUP($A296,通讯录!$A:$M,5,FALSE)&amp;""),"",VLOOKUP($A296,通讯录!$A:$M,5,FALSE)&amp;"")</f>
        <v/>
      </c>
      <c r="E296" s="41" t="str">
        <f>IF(ISERROR(VLOOKUP($A296,通讯录!$A:$M,6,FALSE)&amp;""),"",VLOOKUP($A296,通讯录!$A:$M,6,FALSE)&amp;"")</f>
        <v/>
      </c>
      <c r="F296" s="41" t="str">
        <f>IF(ISERROR(VLOOKUP($A296,通讯录!$A:$M,4,FALSE)&amp;""),"",VLOOKUP($A296,通讯录!$A:$M,4,FALSE)&amp;"")</f>
        <v/>
      </c>
      <c r="G296" s="41" t="str">
        <f>IF(ISERROR(VLOOKUP($A296,通讯录!$A:$M,8,FALSE)&amp;""),"",VLOOKUP($A296,通讯录!$A:$M,8,FALSE)&amp;"")</f>
        <v/>
      </c>
      <c r="H296" s="41"/>
      <c r="I296" s="41"/>
      <c r="J296" s="41"/>
      <c r="L296" s="29" t="str">
        <f t="shared" si="5"/>
        <v/>
      </c>
    </row>
    <row r="297" spans="2:12">
      <c r="B297" s="41" t="str">
        <f>IF(ISERROR(VLOOKUP($A297,通讯录!$A:$M,3,FALSE)&amp;""),"",VLOOKUP($A297,通讯录!$A:$M,3,FALSE)&amp;"")</f>
        <v/>
      </c>
      <c r="C297" s="41" t="str">
        <f>IF(ISERROR(VLOOKUP($A297,通讯录!$A:$M,7,FALSE)&amp;""),"",VLOOKUP($A297,通讯录!$A:$M,7,FALSE)&amp;"")</f>
        <v/>
      </c>
      <c r="D297" s="41" t="str">
        <f>IF(ISERROR(VLOOKUP($A297,通讯录!$A:$M,5,FALSE)&amp;""),"",VLOOKUP($A297,通讯录!$A:$M,5,FALSE)&amp;"")</f>
        <v/>
      </c>
      <c r="E297" s="41" t="str">
        <f>IF(ISERROR(VLOOKUP($A297,通讯录!$A:$M,6,FALSE)&amp;""),"",VLOOKUP($A297,通讯录!$A:$M,6,FALSE)&amp;"")</f>
        <v/>
      </c>
      <c r="F297" s="41" t="str">
        <f>IF(ISERROR(VLOOKUP($A297,通讯录!$A:$M,4,FALSE)&amp;""),"",VLOOKUP($A297,通讯录!$A:$M,4,FALSE)&amp;"")</f>
        <v/>
      </c>
      <c r="G297" s="41" t="str">
        <f>IF(ISERROR(VLOOKUP($A297,通讯录!$A:$M,8,FALSE)&amp;""),"",VLOOKUP($A297,通讯录!$A:$M,8,FALSE)&amp;"")</f>
        <v/>
      </c>
      <c r="H297" s="41"/>
      <c r="I297" s="41"/>
      <c r="J297" s="41"/>
      <c r="L297" s="29" t="str">
        <f t="shared" si="5"/>
        <v/>
      </c>
    </row>
    <row r="298" spans="2:12">
      <c r="B298" s="41" t="str">
        <f>IF(ISERROR(VLOOKUP($A298,通讯录!$A:$M,3,FALSE)&amp;""),"",VLOOKUP($A298,通讯录!$A:$M,3,FALSE)&amp;"")</f>
        <v/>
      </c>
      <c r="C298" s="41" t="str">
        <f>IF(ISERROR(VLOOKUP($A298,通讯录!$A:$M,7,FALSE)&amp;""),"",VLOOKUP($A298,通讯录!$A:$M,7,FALSE)&amp;"")</f>
        <v/>
      </c>
      <c r="D298" s="41" t="str">
        <f>IF(ISERROR(VLOOKUP($A298,通讯录!$A:$M,5,FALSE)&amp;""),"",VLOOKUP($A298,通讯录!$A:$M,5,FALSE)&amp;"")</f>
        <v/>
      </c>
      <c r="E298" s="41" t="str">
        <f>IF(ISERROR(VLOOKUP($A298,通讯录!$A:$M,6,FALSE)&amp;""),"",VLOOKUP($A298,通讯录!$A:$M,6,FALSE)&amp;"")</f>
        <v/>
      </c>
      <c r="F298" s="41" t="str">
        <f>IF(ISERROR(VLOOKUP($A298,通讯录!$A:$M,4,FALSE)&amp;""),"",VLOOKUP($A298,通讯录!$A:$M,4,FALSE)&amp;"")</f>
        <v/>
      </c>
      <c r="G298" s="41" t="str">
        <f>IF(ISERROR(VLOOKUP($A298,通讯录!$A:$M,8,FALSE)&amp;""),"",VLOOKUP($A298,通讯录!$A:$M,8,FALSE)&amp;"")</f>
        <v/>
      </c>
      <c r="H298" s="41"/>
      <c r="I298" s="41"/>
      <c r="J298" s="41"/>
      <c r="L298" s="29" t="str">
        <f t="shared" si="5"/>
        <v/>
      </c>
    </row>
    <row r="299" spans="2:12">
      <c r="B299" s="41" t="str">
        <f>IF(ISERROR(VLOOKUP($A299,通讯录!$A:$M,3,FALSE)&amp;""),"",VLOOKUP($A299,通讯录!$A:$M,3,FALSE)&amp;"")</f>
        <v/>
      </c>
      <c r="C299" s="41" t="str">
        <f>IF(ISERROR(VLOOKUP($A299,通讯录!$A:$M,7,FALSE)&amp;""),"",VLOOKUP($A299,通讯录!$A:$M,7,FALSE)&amp;"")</f>
        <v/>
      </c>
      <c r="D299" s="41" t="str">
        <f>IF(ISERROR(VLOOKUP($A299,通讯录!$A:$M,5,FALSE)&amp;""),"",VLOOKUP($A299,通讯录!$A:$M,5,FALSE)&amp;"")</f>
        <v/>
      </c>
      <c r="E299" s="41" t="str">
        <f>IF(ISERROR(VLOOKUP($A299,通讯录!$A:$M,6,FALSE)&amp;""),"",VLOOKUP($A299,通讯录!$A:$M,6,FALSE)&amp;"")</f>
        <v/>
      </c>
      <c r="F299" s="41" t="str">
        <f>IF(ISERROR(VLOOKUP($A299,通讯录!$A:$M,4,FALSE)&amp;""),"",VLOOKUP($A299,通讯录!$A:$M,4,FALSE)&amp;"")</f>
        <v/>
      </c>
      <c r="G299" s="41" t="str">
        <f>IF(ISERROR(VLOOKUP($A299,通讯录!$A:$M,8,FALSE)&amp;""),"",VLOOKUP($A299,通讯录!$A:$M,8,FALSE)&amp;"")</f>
        <v/>
      </c>
      <c r="H299" s="41"/>
      <c r="I299" s="41"/>
      <c r="J299" s="41"/>
      <c r="L299" s="29" t="str">
        <f t="shared" si="5"/>
        <v/>
      </c>
    </row>
    <row r="300" spans="2:12">
      <c r="B300" s="41" t="str">
        <f>IF(ISERROR(VLOOKUP($A300,通讯录!$A:$M,3,FALSE)&amp;""),"",VLOOKUP($A300,通讯录!$A:$M,3,FALSE)&amp;"")</f>
        <v/>
      </c>
      <c r="C300" s="41" t="str">
        <f>IF(ISERROR(VLOOKUP($A300,通讯录!$A:$M,7,FALSE)&amp;""),"",VLOOKUP($A300,通讯录!$A:$M,7,FALSE)&amp;"")</f>
        <v/>
      </c>
      <c r="D300" s="41" t="str">
        <f>IF(ISERROR(VLOOKUP($A300,通讯录!$A:$M,5,FALSE)&amp;""),"",VLOOKUP($A300,通讯录!$A:$M,5,FALSE)&amp;"")</f>
        <v/>
      </c>
      <c r="E300" s="41" t="str">
        <f>IF(ISERROR(VLOOKUP($A300,通讯录!$A:$M,6,FALSE)&amp;""),"",VLOOKUP($A300,通讯录!$A:$M,6,FALSE)&amp;"")</f>
        <v/>
      </c>
      <c r="F300" s="41" t="str">
        <f>IF(ISERROR(VLOOKUP($A300,通讯录!$A:$M,4,FALSE)&amp;""),"",VLOOKUP($A300,通讯录!$A:$M,4,FALSE)&amp;"")</f>
        <v/>
      </c>
      <c r="G300" s="41" t="str">
        <f>IF(ISERROR(VLOOKUP($A300,通讯录!$A:$M,8,FALSE)&amp;""),"",VLOOKUP($A300,通讯录!$A:$M,8,FALSE)&amp;"")</f>
        <v/>
      </c>
      <c r="H300" s="41"/>
      <c r="I300" s="41"/>
      <c r="J300" s="41"/>
      <c r="L300" s="29" t="str">
        <f t="shared" si="5"/>
        <v/>
      </c>
    </row>
    <row r="301" spans="2:12">
      <c r="B301" s="41" t="str">
        <f>IF(ISERROR(VLOOKUP($A301,通讯录!$A:$M,3,FALSE)&amp;""),"",VLOOKUP($A301,通讯录!$A:$M,3,FALSE)&amp;"")</f>
        <v/>
      </c>
      <c r="C301" s="41" t="str">
        <f>IF(ISERROR(VLOOKUP($A301,通讯录!$A:$M,7,FALSE)&amp;""),"",VLOOKUP($A301,通讯录!$A:$M,7,FALSE)&amp;"")</f>
        <v/>
      </c>
      <c r="D301" s="41" t="str">
        <f>IF(ISERROR(VLOOKUP($A301,通讯录!$A:$M,5,FALSE)&amp;""),"",VLOOKUP($A301,通讯录!$A:$M,5,FALSE)&amp;"")</f>
        <v/>
      </c>
      <c r="E301" s="41" t="str">
        <f>IF(ISERROR(VLOOKUP($A301,通讯录!$A:$M,6,FALSE)&amp;""),"",VLOOKUP($A301,通讯录!$A:$M,6,FALSE)&amp;"")</f>
        <v/>
      </c>
      <c r="F301" s="41" t="str">
        <f>IF(ISERROR(VLOOKUP($A301,通讯录!$A:$M,4,FALSE)&amp;""),"",VLOOKUP($A301,通讯录!$A:$M,4,FALSE)&amp;"")</f>
        <v/>
      </c>
      <c r="G301" s="41" t="str">
        <f>IF(ISERROR(VLOOKUP($A301,通讯录!$A:$M,8,FALSE)&amp;""),"",VLOOKUP($A301,通讯录!$A:$M,8,FALSE)&amp;"")</f>
        <v/>
      </c>
      <c r="H301" s="41"/>
      <c r="I301" s="41"/>
      <c r="J301" s="41"/>
      <c r="L301" s="29" t="str">
        <f t="shared" si="5"/>
        <v/>
      </c>
    </row>
    <row r="302" spans="2:12">
      <c r="B302" s="41" t="str">
        <f>IF(ISERROR(VLOOKUP($A302,通讯录!$A:$M,3,FALSE)&amp;""),"",VLOOKUP($A302,通讯录!$A:$M,3,FALSE)&amp;"")</f>
        <v/>
      </c>
      <c r="C302" s="41" t="str">
        <f>IF(ISERROR(VLOOKUP($A302,通讯录!$A:$M,7,FALSE)&amp;""),"",VLOOKUP($A302,通讯录!$A:$M,7,FALSE)&amp;"")</f>
        <v/>
      </c>
      <c r="D302" s="41" t="str">
        <f>IF(ISERROR(VLOOKUP($A302,通讯录!$A:$M,5,FALSE)&amp;""),"",VLOOKUP($A302,通讯录!$A:$M,5,FALSE)&amp;"")</f>
        <v/>
      </c>
      <c r="E302" s="41" t="str">
        <f>IF(ISERROR(VLOOKUP($A302,通讯录!$A:$M,6,FALSE)&amp;""),"",VLOOKUP($A302,通讯录!$A:$M,6,FALSE)&amp;"")</f>
        <v/>
      </c>
      <c r="F302" s="41" t="str">
        <f>IF(ISERROR(VLOOKUP($A302,通讯录!$A:$M,4,FALSE)&amp;""),"",VLOOKUP($A302,通讯录!$A:$M,4,FALSE)&amp;"")</f>
        <v/>
      </c>
      <c r="G302" s="41" t="str">
        <f>IF(ISERROR(VLOOKUP($A302,通讯录!$A:$M,8,FALSE)&amp;""),"",VLOOKUP($A302,通讯录!$A:$M,8,FALSE)&amp;"")</f>
        <v/>
      </c>
      <c r="H302" s="41"/>
      <c r="I302" s="41"/>
      <c r="J302" s="41"/>
      <c r="L302" s="29" t="str">
        <f t="shared" si="5"/>
        <v/>
      </c>
    </row>
    <row r="303" spans="2:12">
      <c r="B303" s="41" t="str">
        <f>IF(ISERROR(VLOOKUP($A303,通讯录!$A:$M,3,FALSE)&amp;""),"",VLOOKUP($A303,通讯录!$A:$M,3,FALSE)&amp;"")</f>
        <v/>
      </c>
      <c r="C303" s="41" t="str">
        <f>IF(ISERROR(VLOOKUP($A303,通讯录!$A:$M,7,FALSE)&amp;""),"",VLOOKUP($A303,通讯录!$A:$M,7,FALSE)&amp;"")</f>
        <v/>
      </c>
      <c r="D303" s="41" t="str">
        <f>IF(ISERROR(VLOOKUP($A303,通讯录!$A:$M,5,FALSE)&amp;""),"",VLOOKUP($A303,通讯录!$A:$M,5,FALSE)&amp;"")</f>
        <v/>
      </c>
      <c r="E303" s="41" t="str">
        <f>IF(ISERROR(VLOOKUP($A303,通讯录!$A:$M,6,FALSE)&amp;""),"",VLOOKUP($A303,通讯录!$A:$M,6,FALSE)&amp;"")</f>
        <v/>
      </c>
      <c r="F303" s="41" t="str">
        <f>IF(ISERROR(VLOOKUP($A303,通讯录!$A:$M,4,FALSE)&amp;""),"",VLOOKUP($A303,通讯录!$A:$M,4,FALSE)&amp;"")</f>
        <v/>
      </c>
      <c r="G303" s="41" t="str">
        <f>IF(ISERROR(VLOOKUP($A303,通讯录!$A:$M,8,FALSE)&amp;""),"",VLOOKUP($A303,通讯录!$A:$M,8,FALSE)&amp;"")</f>
        <v/>
      </c>
      <c r="H303" s="41"/>
      <c r="I303" s="41"/>
      <c r="J303" s="41"/>
      <c r="L303" s="29" t="str">
        <f t="shared" si="5"/>
        <v/>
      </c>
    </row>
    <row r="304" spans="2:12">
      <c r="B304" s="41" t="str">
        <f>IF(ISERROR(VLOOKUP($A304,通讯录!$A:$M,3,FALSE)&amp;""),"",VLOOKUP($A304,通讯录!$A:$M,3,FALSE)&amp;"")</f>
        <v/>
      </c>
      <c r="C304" s="41" t="str">
        <f>IF(ISERROR(VLOOKUP($A304,通讯录!$A:$M,7,FALSE)&amp;""),"",VLOOKUP($A304,通讯录!$A:$M,7,FALSE)&amp;"")</f>
        <v/>
      </c>
      <c r="D304" s="41" t="str">
        <f>IF(ISERROR(VLOOKUP($A304,通讯录!$A:$M,5,FALSE)&amp;""),"",VLOOKUP($A304,通讯录!$A:$M,5,FALSE)&amp;"")</f>
        <v/>
      </c>
      <c r="E304" s="41" t="str">
        <f>IF(ISERROR(VLOOKUP($A304,通讯录!$A:$M,6,FALSE)&amp;""),"",VLOOKUP($A304,通讯录!$A:$M,6,FALSE)&amp;"")</f>
        <v/>
      </c>
      <c r="F304" s="41" t="str">
        <f>IF(ISERROR(VLOOKUP($A304,通讯录!$A:$M,4,FALSE)&amp;""),"",VLOOKUP($A304,通讯录!$A:$M,4,FALSE)&amp;"")</f>
        <v/>
      </c>
      <c r="G304" s="41" t="str">
        <f>IF(ISERROR(VLOOKUP($A304,通讯录!$A:$M,8,FALSE)&amp;""),"",VLOOKUP($A304,通讯录!$A:$M,8,FALSE)&amp;"")</f>
        <v/>
      </c>
      <c r="H304" s="41"/>
      <c r="I304" s="41"/>
      <c r="J304" s="41"/>
      <c r="L304" s="29" t="str">
        <f t="shared" si="5"/>
        <v/>
      </c>
    </row>
    <row r="305" spans="2:12">
      <c r="B305" s="41" t="str">
        <f>IF(ISERROR(VLOOKUP($A305,通讯录!$A:$M,3,FALSE)&amp;""),"",VLOOKUP($A305,通讯录!$A:$M,3,FALSE)&amp;"")</f>
        <v/>
      </c>
      <c r="C305" s="41" t="str">
        <f>IF(ISERROR(VLOOKUP($A305,通讯录!$A:$M,7,FALSE)&amp;""),"",VLOOKUP($A305,通讯录!$A:$M,7,FALSE)&amp;"")</f>
        <v/>
      </c>
      <c r="D305" s="41" t="str">
        <f>IF(ISERROR(VLOOKUP($A305,通讯录!$A:$M,5,FALSE)&amp;""),"",VLOOKUP($A305,通讯录!$A:$M,5,FALSE)&amp;"")</f>
        <v/>
      </c>
      <c r="E305" s="41" t="str">
        <f>IF(ISERROR(VLOOKUP($A305,通讯录!$A:$M,6,FALSE)&amp;""),"",VLOOKUP($A305,通讯录!$A:$M,6,FALSE)&amp;"")</f>
        <v/>
      </c>
      <c r="F305" s="41" t="str">
        <f>IF(ISERROR(VLOOKUP($A305,通讯录!$A:$M,4,FALSE)&amp;""),"",VLOOKUP($A305,通讯录!$A:$M,4,FALSE)&amp;"")</f>
        <v/>
      </c>
      <c r="G305" s="41" t="str">
        <f>IF(ISERROR(VLOOKUP($A305,通讯录!$A:$M,8,FALSE)&amp;""),"",VLOOKUP($A305,通讯录!$A:$M,8,FALSE)&amp;"")</f>
        <v/>
      </c>
      <c r="H305" s="41"/>
      <c r="I305" s="41"/>
      <c r="J305" s="41"/>
      <c r="L305" s="29" t="str">
        <f t="shared" si="5"/>
        <v/>
      </c>
    </row>
    <row r="306" spans="2:12">
      <c r="B306" s="41" t="str">
        <f>IF(ISERROR(VLOOKUP($A306,通讯录!$A:$M,3,FALSE)&amp;""),"",VLOOKUP($A306,通讯录!$A:$M,3,FALSE)&amp;"")</f>
        <v/>
      </c>
      <c r="C306" s="41" t="str">
        <f>IF(ISERROR(VLOOKUP($A306,通讯录!$A:$M,7,FALSE)&amp;""),"",VLOOKUP($A306,通讯录!$A:$M,7,FALSE)&amp;"")</f>
        <v/>
      </c>
      <c r="D306" s="41" t="str">
        <f>IF(ISERROR(VLOOKUP($A306,通讯录!$A:$M,5,FALSE)&amp;""),"",VLOOKUP($A306,通讯录!$A:$M,5,FALSE)&amp;"")</f>
        <v/>
      </c>
      <c r="E306" s="41" t="str">
        <f>IF(ISERROR(VLOOKUP($A306,通讯录!$A:$M,6,FALSE)&amp;""),"",VLOOKUP($A306,通讯录!$A:$M,6,FALSE)&amp;"")</f>
        <v/>
      </c>
      <c r="F306" s="41" t="str">
        <f>IF(ISERROR(VLOOKUP($A306,通讯录!$A:$M,4,FALSE)&amp;""),"",VLOOKUP($A306,通讯录!$A:$M,4,FALSE)&amp;"")</f>
        <v/>
      </c>
      <c r="G306" s="41" t="str">
        <f>IF(ISERROR(VLOOKUP($A306,通讯录!$A:$M,8,FALSE)&amp;""),"",VLOOKUP($A306,通讯录!$A:$M,8,FALSE)&amp;"")</f>
        <v/>
      </c>
      <c r="H306" s="41"/>
      <c r="I306" s="41"/>
      <c r="J306" s="41"/>
      <c r="L306" s="29" t="str">
        <f t="shared" si="5"/>
        <v/>
      </c>
    </row>
    <row r="307" spans="2:12">
      <c r="B307" s="41" t="str">
        <f>IF(ISERROR(VLOOKUP($A307,通讯录!$A:$M,3,FALSE)&amp;""),"",VLOOKUP($A307,通讯录!$A:$M,3,FALSE)&amp;"")</f>
        <v/>
      </c>
      <c r="C307" s="41" t="str">
        <f>IF(ISERROR(VLOOKUP($A307,通讯录!$A:$M,7,FALSE)&amp;""),"",VLOOKUP($A307,通讯录!$A:$M,7,FALSE)&amp;"")</f>
        <v/>
      </c>
      <c r="D307" s="41" t="str">
        <f>IF(ISERROR(VLOOKUP($A307,通讯录!$A:$M,5,FALSE)&amp;""),"",VLOOKUP($A307,通讯录!$A:$M,5,FALSE)&amp;"")</f>
        <v/>
      </c>
      <c r="E307" s="41" t="str">
        <f>IF(ISERROR(VLOOKUP($A307,通讯录!$A:$M,6,FALSE)&amp;""),"",VLOOKUP($A307,通讯录!$A:$M,6,FALSE)&amp;"")</f>
        <v/>
      </c>
      <c r="F307" s="41" t="str">
        <f>IF(ISERROR(VLOOKUP($A307,通讯录!$A:$M,4,FALSE)&amp;""),"",VLOOKUP($A307,通讯录!$A:$M,4,FALSE)&amp;"")</f>
        <v/>
      </c>
      <c r="G307" s="41" t="str">
        <f>IF(ISERROR(VLOOKUP($A307,通讯录!$A:$M,8,FALSE)&amp;""),"",VLOOKUP($A307,通讯录!$A:$M,8,FALSE)&amp;"")</f>
        <v/>
      </c>
      <c r="H307" s="41"/>
      <c r="I307" s="41"/>
      <c r="J307" s="41"/>
      <c r="L307" s="29" t="str">
        <f t="shared" si="5"/>
        <v/>
      </c>
    </row>
    <row r="308" spans="2:12">
      <c r="B308" s="41" t="str">
        <f>IF(ISERROR(VLOOKUP($A308,通讯录!$A:$M,3,FALSE)&amp;""),"",VLOOKUP($A308,通讯录!$A:$M,3,FALSE)&amp;"")</f>
        <v/>
      </c>
      <c r="C308" s="41" t="str">
        <f>IF(ISERROR(VLOOKUP($A308,通讯录!$A:$M,7,FALSE)&amp;""),"",VLOOKUP($A308,通讯录!$A:$M,7,FALSE)&amp;"")</f>
        <v/>
      </c>
      <c r="D308" s="41" t="str">
        <f>IF(ISERROR(VLOOKUP($A308,通讯录!$A:$M,5,FALSE)&amp;""),"",VLOOKUP($A308,通讯录!$A:$M,5,FALSE)&amp;"")</f>
        <v/>
      </c>
      <c r="E308" s="41" t="str">
        <f>IF(ISERROR(VLOOKUP($A308,通讯录!$A:$M,6,FALSE)&amp;""),"",VLOOKUP($A308,通讯录!$A:$M,6,FALSE)&amp;"")</f>
        <v/>
      </c>
      <c r="F308" s="41" t="str">
        <f>IF(ISERROR(VLOOKUP($A308,通讯录!$A:$M,4,FALSE)&amp;""),"",VLOOKUP($A308,通讯录!$A:$M,4,FALSE)&amp;"")</f>
        <v/>
      </c>
      <c r="G308" s="41" t="str">
        <f>IF(ISERROR(VLOOKUP($A308,通讯录!$A:$M,8,FALSE)&amp;""),"",VLOOKUP($A308,通讯录!$A:$M,8,FALSE)&amp;"")</f>
        <v/>
      </c>
      <c r="H308" s="41"/>
      <c r="I308" s="41"/>
      <c r="J308" s="41"/>
      <c r="L308" s="29" t="str">
        <f t="shared" si="5"/>
        <v/>
      </c>
    </row>
    <row r="309" spans="2:12">
      <c r="B309" s="41" t="str">
        <f>IF(ISERROR(VLOOKUP($A309,通讯录!$A:$M,3,FALSE)&amp;""),"",VLOOKUP($A309,通讯录!$A:$M,3,FALSE)&amp;"")</f>
        <v/>
      </c>
      <c r="C309" s="41" t="str">
        <f>IF(ISERROR(VLOOKUP($A309,通讯录!$A:$M,7,FALSE)&amp;""),"",VLOOKUP($A309,通讯录!$A:$M,7,FALSE)&amp;"")</f>
        <v/>
      </c>
      <c r="D309" s="41" t="str">
        <f>IF(ISERROR(VLOOKUP($A309,通讯录!$A:$M,5,FALSE)&amp;""),"",VLOOKUP($A309,通讯录!$A:$M,5,FALSE)&amp;"")</f>
        <v/>
      </c>
      <c r="E309" s="41" t="str">
        <f>IF(ISERROR(VLOOKUP($A309,通讯录!$A:$M,6,FALSE)&amp;""),"",VLOOKUP($A309,通讯录!$A:$M,6,FALSE)&amp;"")</f>
        <v/>
      </c>
      <c r="F309" s="41" t="str">
        <f>IF(ISERROR(VLOOKUP($A309,通讯录!$A:$M,4,FALSE)&amp;""),"",VLOOKUP($A309,通讯录!$A:$M,4,FALSE)&amp;"")</f>
        <v/>
      </c>
      <c r="G309" s="41" t="str">
        <f>IF(ISERROR(VLOOKUP($A309,通讯录!$A:$M,8,FALSE)&amp;""),"",VLOOKUP($A309,通讯录!$A:$M,8,FALSE)&amp;"")</f>
        <v/>
      </c>
      <c r="H309" s="41"/>
      <c r="I309" s="41"/>
      <c r="J309" s="41"/>
      <c r="L309" s="29" t="str">
        <f t="shared" si="5"/>
        <v/>
      </c>
    </row>
    <row r="310" spans="2:12">
      <c r="B310" s="41" t="str">
        <f>IF(ISERROR(VLOOKUP($A310,通讯录!$A:$M,3,FALSE)&amp;""),"",VLOOKUP($A310,通讯录!$A:$M,3,FALSE)&amp;"")</f>
        <v/>
      </c>
      <c r="C310" s="41" t="str">
        <f>IF(ISERROR(VLOOKUP($A310,通讯录!$A:$M,7,FALSE)&amp;""),"",VLOOKUP($A310,通讯录!$A:$M,7,FALSE)&amp;"")</f>
        <v/>
      </c>
      <c r="D310" s="41" t="str">
        <f>IF(ISERROR(VLOOKUP($A310,通讯录!$A:$M,5,FALSE)&amp;""),"",VLOOKUP($A310,通讯录!$A:$M,5,FALSE)&amp;"")</f>
        <v/>
      </c>
      <c r="E310" s="41" t="str">
        <f>IF(ISERROR(VLOOKUP($A310,通讯录!$A:$M,6,FALSE)&amp;""),"",VLOOKUP($A310,通讯录!$A:$M,6,FALSE)&amp;"")</f>
        <v/>
      </c>
      <c r="F310" s="41" t="str">
        <f>IF(ISERROR(VLOOKUP($A310,通讯录!$A:$M,4,FALSE)&amp;""),"",VLOOKUP($A310,通讯录!$A:$M,4,FALSE)&amp;"")</f>
        <v/>
      </c>
      <c r="G310" s="41" t="str">
        <f>IF(ISERROR(VLOOKUP($A310,通讯录!$A:$M,8,FALSE)&amp;""),"",VLOOKUP($A310,通讯录!$A:$M,8,FALSE)&amp;"")</f>
        <v/>
      </c>
      <c r="H310" s="41"/>
      <c r="I310" s="41"/>
      <c r="J310" s="41"/>
      <c r="L310" s="29" t="str">
        <f t="shared" si="5"/>
        <v/>
      </c>
    </row>
    <row r="311" spans="2:12">
      <c r="B311" s="41" t="str">
        <f>IF(ISERROR(VLOOKUP($A311,通讯录!$A:$M,3,FALSE)&amp;""),"",VLOOKUP($A311,通讯录!$A:$M,3,FALSE)&amp;"")</f>
        <v/>
      </c>
      <c r="C311" s="41" t="str">
        <f>IF(ISERROR(VLOOKUP($A311,通讯录!$A:$M,7,FALSE)&amp;""),"",VLOOKUP($A311,通讯录!$A:$M,7,FALSE)&amp;"")</f>
        <v/>
      </c>
      <c r="D311" s="41" t="str">
        <f>IF(ISERROR(VLOOKUP($A311,通讯录!$A:$M,5,FALSE)&amp;""),"",VLOOKUP($A311,通讯录!$A:$M,5,FALSE)&amp;"")</f>
        <v/>
      </c>
      <c r="E311" s="41" t="str">
        <f>IF(ISERROR(VLOOKUP($A311,通讯录!$A:$M,6,FALSE)&amp;""),"",VLOOKUP($A311,通讯录!$A:$M,6,FALSE)&amp;"")</f>
        <v/>
      </c>
      <c r="F311" s="41" t="str">
        <f>IF(ISERROR(VLOOKUP($A311,通讯录!$A:$M,4,FALSE)&amp;""),"",VLOOKUP($A311,通讯录!$A:$M,4,FALSE)&amp;"")</f>
        <v/>
      </c>
      <c r="G311" s="41" t="str">
        <f>IF(ISERROR(VLOOKUP($A311,通讯录!$A:$M,8,FALSE)&amp;""),"",VLOOKUP($A311,通讯录!$A:$M,8,FALSE)&amp;"")</f>
        <v/>
      </c>
      <c r="H311" s="41"/>
      <c r="I311" s="41"/>
      <c r="J311" s="41"/>
      <c r="L311" s="29" t="str">
        <f t="shared" si="5"/>
        <v/>
      </c>
    </row>
    <row r="312" spans="2:12">
      <c r="B312" s="41" t="str">
        <f>IF(ISERROR(VLOOKUP($A312,通讯录!$A:$M,3,FALSE)&amp;""),"",VLOOKUP($A312,通讯录!$A:$M,3,FALSE)&amp;"")</f>
        <v/>
      </c>
      <c r="C312" s="41" t="str">
        <f>IF(ISERROR(VLOOKUP($A312,通讯录!$A:$M,7,FALSE)&amp;""),"",VLOOKUP($A312,通讯录!$A:$M,7,FALSE)&amp;"")</f>
        <v/>
      </c>
      <c r="D312" s="41" t="str">
        <f>IF(ISERROR(VLOOKUP($A312,通讯录!$A:$M,5,FALSE)&amp;""),"",VLOOKUP($A312,通讯录!$A:$M,5,FALSE)&amp;"")</f>
        <v/>
      </c>
      <c r="E312" s="41" t="str">
        <f>IF(ISERROR(VLOOKUP($A312,通讯录!$A:$M,6,FALSE)&amp;""),"",VLOOKUP($A312,通讯录!$A:$M,6,FALSE)&amp;"")</f>
        <v/>
      </c>
      <c r="F312" s="41" t="str">
        <f>IF(ISERROR(VLOOKUP($A312,通讯录!$A:$M,4,FALSE)&amp;""),"",VLOOKUP($A312,通讯录!$A:$M,4,FALSE)&amp;"")</f>
        <v/>
      </c>
      <c r="G312" s="41" t="str">
        <f>IF(ISERROR(VLOOKUP($A312,通讯录!$A:$M,8,FALSE)&amp;""),"",VLOOKUP($A312,通讯录!$A:$M,8,FALSE)&amp;"")</f>
        <v/>
      </c>
      <c r="H312" s="41"/>
      <c r="I312" s="41"/>
      <c r="J312" s="41"/>
      <c r="L312" s="29" t="str">
        <f t="shared" si="5"/>
        <v/>
      </c>
    </row>
    <row r="313" spans="2:12">
      <c r="B313" s="41" t="str">
        <f>IF(ISERROR(VLOOKUP($A313,通讯录!$A:$M,3,FALSE)&amp;""),"",VLOOKUP($A313,通讯录!$A:$M,3,FALSE)&amp;"")</f>
        <v/>
      </c>
      <c r="C313" s="41" t="str">
        <f>IF(ISERROR(VLOOKUP($A313,通讯录!$A:$M,7,FALSE)&amp;""),"",VLOOKUP($A313,通讯录!$A:$M,7,FALSE)&amp;"")</f>
        <v/>
      </c>
      <c r="D313" s="41" t="str">
        <f>IF(ISERROR(VLOOKUP($A313,通讯录!$A:$M,5,FALSE)&amp;""),"",VLOOKUP($A313,通讯录!$A:$M,5,FALSE)&amp;"")</f>
        <v/>
      </c>
      <c r="E313" s="41" t="str">
        <f>IF(ISERROR(VLOOKUP($A313,通讯录!$A:$M,6,FALSE)&amp;""),"",VLOOKUP($A313,通讯录!$A:$M,6,FALSE)&amp;"")</f>
        <v/>
      </c>
      <c r="F313" s="41" t="str">
        <f>IF(ISERROR(VLOOKUP($A313,通讯录!$A:$M,4,FALSE)&amp;""),"",VLOOKUP($A313,通讯录!$A:$M,4,FALSE)&amp;"")</f>
        <v/>
      </c>
      <c r="G313" s="41" t="str">
        <f>IF(ISERROR(VLOOKUP($A313,通讯录!$A:$M,8,FALSE)&amp;""),"",VLOOKUP($A313,通讯录!$A:$M,8,FALSE)&amp;"")</f>
        <v/>
      </c>
      <c r="H313" s="41"/>
      <c r="I313" s="41"/>
      <c r="J313" s="41"/>
      <c r="L313" s="29" t="str">
        <f t="shared" si="5"/>
        <v/>
      </c>
    </row>
    <row r="314" spans="2:12">
      <c r="B314" s="41" t="str">
        <f>IF(ISERROR(VLOOKUP($A314,通讯录!$A:$M,3,FALSE)&amp;""),"",VLOOKUP($A314,通讯录!$A:$M,3,FALSE)&amp;"")</f>
        <v/>
      </c>
      <c r="C314" s="41" t="str">
        <f>IF(ISERROR(VLOOKUP($A314,通讯录!$A:$M,7,FALSE)&amp;""),"",VLOOKUP($A314,通讯录!$A:$M,7,FALSE)&amp;"")</f>
        <v/>
      </c>
      <c r="D314" s="41" t="str">
        <f>IF(ISERROR(VLOOKUP($A314,通讯录!$A:$M,5,FALSE)&amp;""),"",VLOOKUP($A314,通讯录!$A:$M,5,FALSE)&amp;"")</f>
        <v/>
      </c>
      <c r="E314" s="41" t="str">
        <f>IF(ISERROR(VLOOKUP($A314,通讯录!$A:$M,6,FALSE)&amp;""),"",VLOOKUP($A314,通讯录!$A:$M,6,FALSE)&amp;"")</f>
        <v/>
      </c>
      <c r="F314" s="41" t="str">
        <f>IF(ISERROR(VLOOKUP($A314,通讯录!$A:$M,4,FALSE)&amp;""),"",VLOOKUP($A314,通讯录!$A:$M,4,FALSE)&amp;"")</f>
        <v/>
      </c>
      <c r="G314" s="41" t="str">
        <f>IF(ISERROR(VLOOKUP($A314,通讯录!$A:$M,8,FALSE)&amp;""),"",VLOOKUP($A314,通讯录!$A:$M,8,FALSE)&amp;"")</f>
        <v/>
      </c>
      <c r="H314" s="41"/>
      <c r="I314" s="41"/>
      <c r="J314" s="41"/>
      <c r="L314" s="29" t="str">
        <f t="shared" si="5"/>
        <v/>
      </c>
    </row>
    <row r="315" spans="2:12">
      <c r="B315" s="41" t="str">
        <f>IF(ISERROR(VLOOKUP($A315,通讯录!$A:$M,3,FALSE)&amp;""),"",VLOOKUP($A315,通讯录!$A:$M,3,FALSE)&amp;"")</f>
        <v/>
      </c>
      <c r="C315" s="41" t="str">
        <f>IF(ISERROR(VLOOKUP($A315,通讯录!$A:$M,7,FALSE)&amp;""),"",VLOOKUP($A315,通讯录!$A:$M,7,FALSE)&amp;"")</f>
        <v/>
      </c>
      <c r="D315" s="41" t="str">
        <f>IF(ISERROR(VLOOKUP($A315,通讯录!$A:$M,5,FALSE)&amp;""),"",VLOOKUP($A315,通讯录!$A:$M,5,FALSE)&amp;"")</f>
        <v/>
      </c>
      <c r="E315" s="41" t="str">
        <f>IF(ISERROR(VLOOKUP($A315,通讯录!$A:$M,6,FALSE)&amp;""),"",VLOOKUP($A315,通讯录!$A:$M,6,FALSE)&amp;"")</f>
        <v/>
      </c>
      <c r="F315" s="41" t="str">
        <f>IF(ISERROR(VLOOKUP($A315,通讯录!$A:$M,4,FALSE)&amp;""),"",VLOOKUP($A315,通讯录!$A:$M,4,FALSE)&amp;"")</f>
        <v/>
      </c>
      <c r="G315" s="41" t="str">
        <f>IF(ISERROR(VLOOKUP($A315,通讯录!$A:$M,8,FALSE)&amp;""),"",VLOOKUP($A315,通讯录!$A:$M,8,FALSE)&amp;"")</f>
        <v/>
      </c>
      <c r="H315" s="41"/>
      <c r="I315" s="41"/>
      <c r="J315" s="41"/>
      <c r="L315" s="29" t="str">
        <f t="shared" si="5"/>
        <v/>
      </c>
    </row>
    <row r="316" spans="2:12">
      <c r="B316" s="41" t="str">
        <f>IF(ISERROR(VLOOKUP($A316,通讯录!$A:$M,3,FALSE)&amp;""),"",VLOOKUP($A316,通讯录!$A:$M,3,FALSE)&amp;"")</f>
        <v/>
      </c>
      <c r="C316" s="41" t="str">
        <f>IF(ISERROR(VLOOKUP($A316,通讯录!$A:$M,7,FALSE)&amp;""),"",VLOOKUP($A316,通讯录!$A:$M,7,FALSE)&amp;"")</f>
        <v/>
      </c>
      <c r="D316" s="41" t="str">
        <f>IF(ISERROR(VLOOKUP($A316,通讯录!$A:$M,5,FALSE)&amp;""),"",VLOOKUP($A316,通讯录!$A:$M,5,FALSE)&amp;"")</f>
        <v/>
      </c>
      <c r="E316" s="41" t="str">
        <f>IF(ISERROR(VLOOKUP($A316,通讯录!$A:$M,6,FALSE)&amp;""),"",VLOOKUP($A316,通讯录!$A:$M,6,FALSE)&amp;"")</f>
        <v/>
      </c>
      <c r="F316" s="41" t="str">
        <f>IF(ISERROR(VLOOKUP($A316,通讯录!$A:$M,4,FALSE)&amp;""),"",VLOOKUP($A316,通讯录!$A:$M,4,FALSE)&amp;"")</f>
        <v/>
      </c>
      <c r="G316" s="41" t="str">
        <f>IF(ISERROR(VLOOKUP($A316,通讯录!$A:$M,8,FALSE)&amp;""),"",VLOOKUP($A316,通讯录!$A:$M,8,FALSE)&amp;"")</f>
        <v/>
      </c>
      <c r="H316" s="41"/>
      <c r="I316" s="41"/>
      <c r="J316" s="41"/>
      <c r="L316" s="29" t="str">
        <f t="shared" si="5"/>
        <v/>
      </c>
    </row>
    <row r="317" spans="2:12">
      <c r="B317" s="41" t="str">
        <f>IF(ISERROR(VLOOKUP($A317,通讯录!$A:$M,3,FALSE)&amp;""),"",VLOOKUP($A317,通讯录!$A:$M,3,FALSE)&amp;"")</f>
        <v/>
      </c>
      <c r="C317" s="41" t="str">
        <f>IF(ISERROR(VLOOKUP($A317,通讯录!$A:$M,7,FALSE)&amp;""),"",VLOOKUP($A317,通讯录!$A:$M,7,FALSE)&amp;"")</f>
        <v/>
      </c>
      <c r="D317" s="41" t="str">
        <f>IF(ISERROR(VLOOKUP($A317,通讯录!$A:$M,5,FALSE)&amp;""),"",VLOOKUP($A317,通讯录!$A:$M,5,FALSE)&amp;"")</f>
        <v/>
      </c>
      <c r="E317" s="41" t="str">
        <f>IF(ISERROR(VLOOKUP($A317,通讯录!$A:$M,6,FALSE)&amp;""),"",VLOOKUP($A317,通讯录!$A:$M,6,FALSE)&amp;"")</f>
        <v/>
      </c>
      <c r="F317" s="41" t="str">
        <f>IF(ISERROR(VLOOKUP($A317,通讯录!$A:$M,4,FALSE)&amp;""),"",VLOOKUP($A317,通讯录!$A:$M,4,FALSE)&amp;"")</f>
        <v/>
      </c>
      <c r="G317" s="41" t="str">
        <f>IF(ISERROR(VLOOKUP($A317,通讯录!$A:$M,8,FALSE)&amp;""),"",VLOOKUP($A317,通讯录!$A:$M,8,FALSE)&amp;"")</f>
        <v/>
      </c>
      <c r="H317" s="41"/>
      <c r="I317" s="41"/>
      <c r="J317" s="41"/>
      <c r="L317" s="29" t="str">
        <f t="shared" si="5"/>
        <v/>
      </c>
    </row>
    <row r="318" spans="3:12">
      <c r="C318" s="70"/>
      <c r="D318" s="65"/>
      <c r="L318" s="29" t="str">
        <f t="shared" si="5"/>
        <v/>
      </c>
    </row>
    <row r="319" spans="3:12">
      <c r="C319" s="70"/>
      <c r="D319" s="65"/>
      <c r="L319" s="29" t="str">
        <f t="shared" si="5"/>
        <v/>
      </c>
    </row>
    <row r="320" spans="3:12">
      <c r="C320" s="70"/>
      <c r="D320" s="65"/>
      <c r="L320" s="29" t="str">
        <f t="shared" si="5"/>
        <v/>
      </c>
    </row>
    <row r="321" spans="3:12">
      <c r="C321" s="70"/>
      <c r="D321" s="65"/>
      <c r="L321" s="29" t="str">
        <f t="shared" si="5"/>
        <v/>
      </c>
    </row>
    <row r="322" spans="3:12">
      <c r="C322" s="70"/>
      <c r="D322" s="65"/>
      <c r="L322" s="29" t="str">
        <f t="shared" si="5"/>
        <v/>
      </c>
    </row>
    <row r="323" spans="3:12">
      <c r="C323" s="70"/>
      <c r="D323" s="65"/>
      <c r="L323" s="29" t="str">
        <f t="shared" si="5"/>
        <v/>
      </c>
    </row>
    <row r="324" spans="3:12">
      <c r="C324" s="70"/>
      <c r="D324" s="65"/>
      <c r="L324" s="29" t="str">
        <f t="shared" si="5"/>
        <v/>
      </c>
    </row>
    <row r="325" spans="3:12">
      <c r="C325" s="70"/>
      <c r="D325" s="65"/>
      <c r="L325" s="29" t="str">
        <f t="shared" si="5"/>
        <v/>
      </c>
    </row>
    <row r="326" spans="3:12">
      <c r="C326" s="70"/>
      <c r="D326" s="65"/>
      <c r="L326" s="29" t="str">
        <f t="shared" si="5"/>
        <v/>
      </c>
    </row>
    <row r="327" spans="3:12">
      <c r="C327" s="70"/>
      <c r="D327" s="65"/>
      <c r="L327" s="29" t="str">
        <f t="shared" si="5"/>
        <v/>
      </c>
    </row>
    <row r="328" spans="3:12">
      <c r="C328" s="70"/>
      <c r="D328" s="65"/>
      <c r="L328" s="29" t="str">
        <f t="shared" si="5"/>
        <v/>
      </c>
    </row>
    <row r="329" spans="3:12">
      <c r="C329" s="70"/>
      <c r="D329" s="65"/>
      <c r="L329" s="29" t="str">
        <f t="shared" si="5"/>
        <v/>
      </c>
    </row>
    <row r="330" spans="3:12">
      <c r="C330" s="70"/>
      <c r="D330" s="65"/>
      <c r="L330" s="29" t="str">
        <f t="shared" si="5"/>
        <v/>
      </c>
    </row>
    <row r="331" spans="3:12">
      <c r="C331" s="70"/>
      <c r="D331" s="65"/>
      <c r="L331" s="29" t="str">
        <f t="shared" si="5"/>
        <v/>
      </c>
    </row>
    <row r="332" spans="3:12">
      <c r="C332" s="70"/>
      <c r="D332" s="65"/>
      <c r="L332" s="29" t="str">
        <f t="shared" si="5"/>
        <v/>
      </c>
    </row>
    <row r="333" spans="3:12">
      <c r="C333" s="70"/>
      <c r="D333" s="65"/>
      <c r="L333" s="29" t="str">
        <f t="shared" si="5"/>
        <v/>
      </c>
    </row>
    <row r="334" spans="3:12">
      <c r="C334" s="70"/>
      <c r="D334" s="65"/>
      <c r="L334" s="29" t="str">
        <f t="shared" si="5"/>
        <v/>
      </c>
    </row>
    <row r="335" spans="12:12">
      <c r="L335" s="29" t="str">
        <f t="shared" si="5"/>
        <v/>
      </c>
    </row>
    <row r="336" spans="12:12">
      <c r="L336" s="29" t="str">
        <f t="shared" si="5"/>
        <v/>
      </c>
    </row>
  </sheetData>
  <mergeCells count="1">
    <mergeCell ref="A2:J2"/>
  </mergeCells>
  <dataValidations count="2">
    <dataValidation type="list" allowBlank="1" showInputMessage="1" showErrorMessage="1" sqref="A1 A18">
      <formula1>常用代码!$C:$C</formula1>
    </dataValidation>
    <dataValidation type="list" allowBlank="1" showInputMessage="1" showErrorMessage="1" sqref="J18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name="Button 1" r:id="rId3">
              <controlPr print="0" defaultSize="0">
                <anchor>
                  <from>
                    <xdr:col>2</xdr:col>
                    <xdr:colOff>371475</xdr:colOff>
                    <xdr:row>0</xdr:row>
                    <xdr:rowOff>9525</xdr:rowOff>
                  </from>
                  <to>
                    <xdr:col>3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name="Button 2" r:id="rId4">
              <controlPr print="0" defaultSize="0">
                <anchor>
                  <from>
                    <xdr:col>5</xdr:col>
                    <xdr:colOff>400050</xdr:colOff>
                    <xdr:row>0</xdr:row>
                    <xdr:rowOff>0</xdr:rowOff>
                  </from>
                  <to>
                    <xdr:col>8</xdr:col>
                    <xdr:colOff>113030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name="Button 6" r:id="rId5">
              <controlPr print="0" defaultSize="0">
                <anchor moveWithCells="1" sizeWithCells="1">
                  <from>
                    <xdr:col>11</xdr:col>
                    <xdr:colOff>152400</xdr:colOff>
                    <xdr:row>0</xdr:row>
                    <xdr:rowOff>0</xdr:rowOff>
                  </from>
                  <to>
                    <xdr:col>12</xdr:col>
                    <xdr:colOff>733425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name="Button 7" r:id="rId6">
              <controlPr print="0" defaultSize="0">
                <anchor>
                  <from>
                    <xdr:col>1</xdr:col>
                    <xdr:colOff>114300</xdr:colOff>
                    <xdr:row>0</xdr:row>
                    <xdr:rowOff>0</xdr:rowOff>
                  </from>
                  <to>
                    <xdr:col>2</xdr:col>
                    <xdr:colOff>342900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name="Button 8" r:id="rId7">
              <controlPr print="0" defaultSize="0">
                <anchor>
                  <from>
                    <xdr:col>3</xdr:col>
                    <xdr:colOff>447675</xdr:colOff>
                    <xdr:row>0</xdr:row>
                    <xdr:rowOff>0</xdr:rowOff>
                  </from>
                  <to>
                    <xdr:col>5</xdr:col>
                    <xdr:colOff>266700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123"/>
  <sheetViews>
    <sheetView workbookViewId="0">
      <selection activeCell="B35" sqref="B35"/>
    </sheetView>
  </sheetViews>
  <sheetFormatPr defaultColWidth="9" defaultRowHeight="13.5"/>
  <cols>
    <col min="1" max="1" width="15" style="32" customWidth="1"/>
    <col min="2" max="2" width="21" style="29" customWidth="1"/>
    <col min="3" max="3" width="3.5" style="32" customWidth="1"/>
    <col min="4" max="7" width="8.75" style="32" customWidth="1"/>
    <col min="8" max="8" width="8.75" style="29" customWidth="1"/>
    <col min="9" max="9" width="8.75" style="33" customWidth="1"/>
    <col min="10" max="10" width="10.75" style="29" customWidth="1"/>
    <col min="11" max="11" width="12.625" style="29" customWidth="1"/>
    <col min="12" max="12" width="25.375" style="29" customWidth="1"/>
    <col min="13" max="13" width="13" style="29" customWidth="1"/>
    <col min="14" max="14" width="10.75" style="29" customWidth="1"/>
    <col min="15" max="15" width="11.125" style="29" customWidth="1"/>
    <col min="16" max="16" width="8.625" style="29" customWidth="1"/>
    <col min="17" max="17" width="17.25" style="29" customWidth="1"/>
    <col min="18" max="18" width="14.75" style="29" customWidth="1"/>
    <col min="19" max="19" width="14.75" style="32" customWidth="1"/>
    <col min="20" max="16384" width="9" style="32"/>
  </cols>
  <sheetData>
    <row r="1" s="29" customFormat="1" ht="37.5" customHeight="1" spans="1:19">
      <c r="A1" s="34" t="s">
        <v>26</v>
      </c>
      <c r="B1" s="35" t="str">
        <f>"脚本"&amp;"."&amp;INDEX(常用代码!B:B,MATCH(A3,常用代码!C:C,0))</f>
        <v>脚本.bat</v>
      </c>
      <c r="C1" s="36"/>
      <c r="D1" s="36"/>
      <c r="E1" s="36"/>
      <c r="F1" s="36"/>
      <c r="G1" s="36"/>
      <c r="H1" s="36"/>
      <c r="I1" s="46"/>
      <c r="J1" s="36"/>
      <c r="N1" s="29" t="s">
        <v>27</v>
      </c>
      <c r="S1" s="32"/>
    </row>
    <row r="2" s="30" customFormat="1" ht="30" hidden="1" customHeight="1" spans="1:18">
      <c r="A2" s="37" t="str">
        <f>IF(ISERROR(VLOOKUP(A3,常用代码!C:H,4,FALSE)&amp;""),"",VLOOKUP(A3,常用代码!C:H,4,FALSE)&amp;"")</f>
        <v>无参数 pause</v>
      </c>
      <c r="B2" s="38"/>
      <c r="I2" s="47"/>
      <c r="L2" s="48"/>
      <c r="M2" s="48"/>
      <c r="N2" s="48"/>
      <c r="O2" s="48"/>
      <c r="P2" s="48"/>
      <c r="Q2" s="48"/>
      <c r="R2" s="48"/>
    </row>
    <row r="3" ht="54.75" hidden="1" customHeight="1" spans="1:10">
      <c r="A3" s="39" t="s">
        <v>28</v>
      </c>
      <c r="B3" s="40" t="str">
        <f>IF(ISERROR(VLOOKUP(A3,常用代码!C:E,2,FALSE)),"",VLOOKUP(A3,常用代码!C:E,2,FALSE))</f>
        <v>pause</v>
      </c>
      <c r="C3" s="41"/>
      <c r="D3" s="41"/>
      <c r="E3" s="41"/>
      <c r="F3" s="41"/>
      <c r="G3" s="41"/>
      <c r="H3" s="41"/>
      <c r="I3" s="49"/>
      <c r="J3" s="41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8:18">
      <c r="H18" s="32"/>
      <c r="I18" s="50"/>
      <c r="J18" s="32"/>
      <c r="K18" s="32"/>
      <c r="L18" s="32"/>
      <c r="M18" s="32"/>
      <c r="N18" s="32"/>
      <c r="O18" s="32"/>
      <c r="P18" s="32"/>
      <c r="Q18" s="32"/>
      <c r="R18" s="32"/>
    </row>
    <row r="19" s="31" customFormat="1" ht="16.9" customHeight="1" spans="1:20">
      <c r="A19" s="42" t="s">
        <v>1</v>
      </c>
      <c r="B19" s="43" t="s">
        <v>2</v>
      </c>
      <c r="C19" s="42" t="s">
        <v>3</v>
      </c>
      <c r="D19" s="42" t="s">
        <v>4</v>
      </c>
      <c r="E19" s="42" t="s">
        <v>5</v>
      </c>
      <c r="F19" s="42" t="s">
        <v>6</v>
      </c>
      <c r="G19" s="42" t="s">
        <v>7</v>
      </c>
      <c r="H19" s="43" t="s">
        <v>8</v>
      </c>
      <c r="I19" s="51" t="s">
        <v>9</v>
      </c>
      <c r="J19" s="43" t="s">
        <v>10</v>
      </c>
      <c r="K19" s="43" t="s">
        <v>11</v>
      </c>
      <c r="L19" s="43" t="s">
        <v>12</v>
      </c>
      <c r="M19" s="43" t="s">
        <v>13</v>
      </c>
      <c r="N19" s="43" t="s">
        <v>14</v>
      </c>
      <c r="O19" s="43" t="s">
        <v>15</v>
      </c>
      <c r="P19" s="43" t="s">
        <v>29</v>
      </c>
      <c r="Q19" s="43" t="s">
        <v>30</v>
      </c>
      <c r="R19" s="43" t="s">
        <v>31</v>
      </c>
      <c r="S19" s="43" t="s">
        <v>32</v>
      </c>
      <c r="T19" s="43" t="s">
        <v>33</v>
      </c>
    </row>
    <row r="20" s="31" customFormat="1" ht="16.9" customHeight="1" spans="1:25">
      <c r="A20" s="31" t="s">
        <v>34</v>
      </c>
      <c r="B20" s="43">
        <v>1</v>
      </c>
      <c r="C20" s="31">
        <v>2</v>
      </c>
      <c r="D20" s="42">
        <v>3</v>
      </c>
      <c r="E20" s="31">
        <v>4</v>
      </c>
      <c r="F20" s="42">
        <v>5</v>
      </c>
      <c r="G20" s="43" t="s">
        <v>35</v>
      </c>
      <c r="H20" s="44" t="s">
        <v>36</v>
      </c>
      <c r="I20" s="51" t="s">
        <v>37</v>
      </c>
      <c r="J20" s="31" t="s">
        <v>38</v>
      </c>
      <c r="K20" s="52" t="s">
        <v>39</v>
      </c>
      <c r="L20" s="52" t="s">
        <v>40</v>
      </c>
      <c r="M20" s="31" t="s">
        <v>41</v>
      </c>
      <c r="N20" s="52" t="s">
        <v>42</v>
      </c>
      <c r="O20" s="43" t="s">
        <v>17</v>
      </c>
      <c r="P20" s="43" t="s">
        <v>43</v>
      </c>
      <c r="Q20" s="43" t="s">
        <v>44</v>
      </c>
      <c r="R20" s="43" t="s">
        <v>45</v>
      </c>
      <c r="S20" s="43" t="s">
        <v>46</v>
      </c>
      <c r="T20" s="43" t="s">
        <v>47</v>
      </c>
      <c r="U20" s="43" t="s">
        <v>48</v>
      </c>
      <c r="V20" s="31" t="s">
        <v>49</v>
      </c>
      <c r="W20" s="31" t="s">
        <v>50</v>
      </c>
      <c r="X20" s="31" t="s">
        <v>51</v>
      </c>
      <c r="Y20" s="31" t="s">
        <v>52</v>
      </c>
    </row>
    <row r="21" s="29" customFormat="1" spans="1:19">
      <c r="A21" s="33" t="s">
        <v>53</v>
      </c>
      <c r="B21" s="29" t="str">
        <f>VLOOKUP(A21,常用代码!C:F,4,FALSE)</f>
        <v>参数07：文件根目录，参数08：文件相对路径；参数10：最终的绝对路径；参数12：旧文件的绝对路径</v>
      </c>
      <c r="C21" s="32"/>
      <c r="D21" s="32"/>
      <c r="E21" s="32"/>
      <c r="F21" s="32"/>
      <c r="G21" s="29" t="s">
        <v>54</v>
      </c>
      <c r="H21" s="45" t="str">
        <f>IF(M21="","",M21)</f>
        <v/>
      </c>
      <c r="I21" s="33" t="str">
        <f>SUBSTITUTE(IF(O21="","",O21)," ","")</f>
        <v>签单副本.xlsm</v>
      </c>
      <c r="J21" s="29" t="str">
        <f>CONCATENATE(G21,H21,I21)</f>
        <v>C:\Users\lilyhcn\Desktop\如何以文件夹命名里面的每张图片\签单副本.xlsm</v>
      </c>
      <c r="K21" s="53" t="s">
        <v>55</v>
      </c>
      <c r="L21" s="29" t="s">
        <v>56</v>
      </c>
      <c r="N21" s="29" t="s">
        <v>57</v>
      </c>
      <c r="O21" s="54" t="s">
        <v>57</v>
      </c>
      <c r="P21" s="54">
        <v>44406</v>
      </c>
      <c r="Q21" s="29">
        <v>22</v>
      </c>
      <c r="R21" s="29" t="s">
        <v>58</v>
      </c>
      <c r="S21" s="32"/>
    </row>
    <row r="22" s="29" customFormat="1" spans="1:19">
      <c r="A22" s="33" t="s">
        <v>53</v>
      </c>
      <c r="B22" s="29" t="str">
        <f>VLOOKUP(A22,常用代码!C:F,4,FALSE)</f>
        <v>参数07：文件根目录，参数08：文件相对路径；参数10：最终的绝对路径；参数12：旧文件的绝对路径</v>
      </c>
      <c r="C22" s="32"/>
      <c r="D22" s="32"/>
      <c r="E22" s="32"/>
      <c r="F22" s="32"/>
      <c r="G22" s="29" t="s">
        <v>54</v>
      </c>
      <c r="H22" s="45" t="str">
        <f t="shared" ref="H22:H28" si="0">IF(M22="","",M22)</f>
        <v/>
      </c>
      <c r="I22" s="33" t="str">
        <f t="shared" ref="I22:I28" si="1">SUBSTITUTE(IF(O22="","",O22)," ","")</f>
        <v>简单代码生成器.xlsm</v>
      </c>
      <c r="J22" s="29" t="str">
        <f t="shared" ref="J22:J28" si="2">CONCATENATE(G22,H22,I22)</f>
        <v>C:\Users\lilyhcn\Desktop\如何以文件夹命名里面的每张图片\简单代码生成器.xlsm</v>
      </c>
      <c r="K22" s="53" t="s">
        <v>59</v>
      </c>
      <c r="L22" s="29" t="s">
        <v>60</v>
      </c>
      <c r="N22" s="29" t="s">
        <v>61</v>
      </c>
      <c r="O22" s="54" t="s">
        <v>61</v>
      </c>
      <c r="P22" s="54">
        <v>44406</v>
      </c>
      <c r="Q22" s="29">
        <v>99</v>
      </c>
      <c r="R22" s="29" t="s">
        <v>58</v>
      </c>
      <c r="S22" s="32"/>
    </row>
    <row r="23" s="29" customFormat="1" spans="1:19">
      <c r="A23" s="33" t="s">
        <v>53</v>
      </c>
      <c r="B23" s="29" t="str">
        <f>VLOOKUP(A23,常用代码!C:F,4,FALSE)</f>
        <v>参数07：文件根目录，参数08：文件相对路径；参数10：最终的绝对路径；参数12：旧文件的绝对路径</v>
      </c>
      <c r="C23" s="32"/>
      <c r="D23" s="32"/>
      <c r="E23" s="32"/>
      <c r="F23" s="32"/>
      <c r="G23" s="29" t="s">
        <v>54</v>
      </c>
      <c r="H23" s="45" t="str">
        <f t="shared" si="0"/>
        <v/>
      </c>
      <c r="I23" s="33" t="str">
        <f t="shared" si="1"/>
        <v>脚本.bat</v>
      </c>
      <c r="J23" s="29" t="str">
        <f t="shared" si="2"/>
        <v>C:\Users\lilyhcn\Desktop\如何以文件夹命名里面的每张图片\脚本.bat</v>
      </c>
      <c r="K23" s="29" t="s">
        <v>62</v>
      </c>
      <c r="L23" s="29" t="s">
        <v>63</v>
      </c>
      <c r="N23" s="29" t="s">
        <v>64</v>
      </c>
      <c r="O23" s="54" t="s">
        <v>64</v>
      </c>
      <c r="P23" s="54">
        <v>44406</v>
      </c>
      <c r="Q23" s="29">
        <v>4</v>
      </c>
      <c r="R23" s="29" t="s">
        <v>65</v>
      </c>
      <c r="S23" s="32"/>
    </row>
    <row r="24" s="29" customFormat="1" spans="1:19">
      <c r="A24" s="33" t="s">
        <v>53</v>
      </c>
      <c r="B24" s="29" t="str">
        <f>VLOOKUP(A24,常用代码!C:F,4,FALSE)</f>
        <v>参数07：文件根目录，参数08：文件相对路径；参数10：最终的绝对路径；参数12：旧文件的绝对路径</v>
      </c>
      <c r="C24" s="32"/>
      <c r="D24" s="32"/>
      <c r="E24" s="32"/>
      <c r="F24" s="32"/>
      <c r="G24" s="29" t="s">
        <v>54</v>
      </c>
      <c r="H24" s="45" t="str">
        <f t="shared" si="0"/>
        <v>新建文件夹\</v>
      </c>
      <c r="I24" s="33" t="str">
        <f t="shared" si="1"/>
        <v>签单副本.xlsx</v>
      </c>
      <c r="J24" s="29" t="str">
        <f t="shared" si="2"/>
        <v>C:\Users\lilyhcn\Desktop\如何以文件夹命名里面的每张图片\新建文件夹\签单副本.xlsx</v>
      </c>
      <c r="K24" s="29" t="s">
        <v>66</v>
      </c>
      <c r="L24" s="29" t="s">
        <v>67</v>
      </c>
      <c r="M24" s="29" t="s">
        <v>68</v>
      </c>
      <c r="N24" s="29" t="s">
        <v>69</v>
      </c>
      <c r="O24" s="54" t="s">
        <v>70</v>
      </c>
      <c r="P24" s="54">
        <v>44405</v>
      </c>
      <c r="Q24" s="29">
        <v>22</v>
      </c>
      <c r="R24" s="29" t="s">
        <v>71</v>
      </c>
      <c r="S24" s="32"/>
    </row>
    <row r="25" s="29" customFormat="1" spans="1:19">
      <c r="A25" s="33" t="s">
        <v>53</v>
      </c>
      <c r="B25" s="29" t="str">
        <f>VLOOKUP(A25,常用代码!C:F,4,FALSE)</f>
        <v>参数07：文件根目录，参数08：文件相对路径；参数10：最终的绝对路径；参数12：旧文件的绝对路径</v>
      </c>
      <c r="C25" s="32"/>
      <c r="D25" s="32"/>
      <c r="E25" s="32"/>
      <c r="F25" s="32"/>
      <c r="G25" s="29" t="s">
        <v>54</v>
      </c>
      <c r="H25" s="45" t="str">
        <f t="shared" si="0"/>
        <v>新建文件夹\</v>
      </c>
      <c r="I25" s="33" t="str">
        <f t="shared" si="1"/>
        <v>签单.xlsx</v>
      </c>
      <c r="J25" s="29" t="str">
        <f t="shared" si="2"/>
        <v>C:\Users\lilyhcn\Desktop\如何以文件夹命名里面的每张图片\新建文件夹\签单.xlsx</v>
      </c>
      <c r="K25" s="29" t="s">
        <v>72</v>
      </c>
      <c r="L25" s="29" t="s">
        <v>73</v>
      </c>
      <c r="M25" s="29" t="s">
        <v>68</v>
      </c>
      <c r="N25" s="29" t="s">
        <v>74</v>
      </c>
      <c r="O25" s="54" t="s">
        <v>75</v>
      </c>
      <c r="P25" s="54">
        <v>44405</v>
      </c>
      <c r="Q25" s="29">
        <v>22</v>
      </c>
      <c r="R25" s="29" t="s">
        <v>71</v>
      </c>
      <c r="S25" s="32"/>
    </row>
    <row r="26" s="29" customFormat="1" spans="1:19">
      <c r="A26" s="33" t="s">
        <v>53</v>
      </c>
      <c r="B26" s="29" t="str">
        <f>VLOOKUP(A26,常用代码!C:F,4,FALSE)</f>
        <v>参数07：文件根目录，参数08：文件相对路径；参数10：最终的绝对路径；参数12：旧文件的绝对路径</v>
      </c>
      <c r="C26" s="32"/>
      <c r="D26" s="32"/>
      <c r="E26" s="32"/>
      <c r="F26" s="32"/>
      <c r="G26" s="29" t="s">
        <v>54</v>
      </c>
      <c r="H26" s="45" t="str">
        <f t="shared" si="0"/>
        <v>新建文件夹\新建文件夹\</v>
      </c>
      <c r="I26" s="33" t="str">
        <f t="shared" si="1"/>
        <v>签单副本.xlsx</v>
      </c>
      <c r="J26" s="29" t="str">
        <f t="shared" si="2"/>
        <v>C:\Users\lilyhcn\Desktop\如何以文件夹命名里面的每张图片\新建文件夹\新建文件夹\签单副本.xlsx</v>
      </c>
      <c r="K26" s="29" t="s">
        <v>66</v>
      </c>
      <c r="L26" s="29" t="s">
        <v>76</v>
      </c>
      <c r="M26" s="29" t="s">
        <v>77</v>
      </c>
      <c r="N26" s="29" t="s">
        <v>78</v>
      </c>
      <c r="O26" s="54" t="s">
        <v>70</v>
      </c>
      <c r="P26" s="54">
        <v>44405</v>
      </c>
      <c r="Q26" s="29">
        <v>22</v>
      </c>
      <c r="R26" s="29" t="s">
        <v>71</v>
      </c>
      <c r="S26" s="32" t="s">
        <v>79</v>
      </c>
    </row>
    <row r="27" s="29" customFormat="1" spans="1:20">
      <c r="A27" s="33" t="s">
        <v>53</v>
      </c>
      <c r="B27" s="29" t="str">
        <f>VLOOKUP(A27,常用代码!C:F,4,FALSE)</f>
        <v>参数07：文件根目录，参数08：文件相对路径；参数10：最终的绝对路径；参数12：旧文件的绝对路径</v>
      </c>
      <c r="C27" s="32"/>
      <c r="D27" s="32"/>
      <c r="E27" s="32"/>
      <c r="F27" s="32"/>
      <c r="G27" s="29" t="s">
        <v>54</v>
      </c>
      <c r="H27" s="45" t="str">
        <f t="shared" si="0"/>
        <v>新建文件夹\新建文件夹\新建文件夹\</v>
      </c>
      <c r="I27" s="33" t="str">
        <f t="shared" si="1"/>
        <v>签单副本副本.xlsm</v>
      </c>
      <c r="J27" s="29" t="str">
        <f t="shared" si="2"/>
        <v>C:\Users\lilyhcn\Desktop\如何以文件夹命名里面的每张图片\新建文件夹\新建文件夹\新建文件夹\签单副本副本.xlsm</v>
      </c>
      <c r="K27" s="29" t="s">
        <v>80</v>
      </c>
      <c r="L27" s="29" t="s">
        <v>81</v>
      </c>
      <c r="M27" s="29" t="s">
        <v>82</v>
      </c>
      <c r="N27" s="29" t="s">
        <v>83</v>
      </c>
      <c r="O27" s="54" t="s">
        <v>84</v>
      </c>
      <c r="P27" s="54">
        <v>44405</v>
      </c>
      <c r="Q27" s="29">
        <v>22</v>
      </c>
      <c r="R27" s="29" t="s">
        <v>58</v>
      </c>
      <c r="S27" s="32" t="s">
        <v>79</v>
      </c>
      <c r="T27" s="29" t="s">
        <v>79</v>
      </c>
    </row>
    <row r="28" s="29" customFormat="1" spans="1:20">
      <c r="A28" s="33" t="s">
        <v>53</v>
      </c>
      <c r="B28" s="29" t="str">
        <f>VLOOKUP(A28,常用代码!C:F,4,FALSE)</f>
        <v>参数07：文件根目录，参数08：文件相对路径；参数10：最终的绝对路径；参数12：旧文件的绝对路径</v>
      </c>
      <c r="C28" s="32"/>
      <c r="D28" s="32"/>
      <c r="E28" s="32"/>
      <c r="F28" s="32"/>
      <c r="G28" s="29" t="s">
        <v>54</v>
      </c>
      <c r="H28" s="45" t="str">
        <f t="shared" si="0"/>
        <v>新建文件夹\新建文件夹\新建文件夹\</v>
      </c>
      <c r="I28" s="33" t="str">
        <f t="shared" si="1"/>
        <v>签单副本.xls</v>
      </c>
      <c r="J28" s="29" t="str">
        <f t="shared" si="2"/>
        <v>C:\Users\lilyhcn\Desktop\如何以文件夹命名里面的每张图片\新建文件夹\新建文件夹\新建文件夹\签单副本.xls</v>
      </c>
      <c r="K28" s="29" t="s">
        <v>66</v>
      </c>
      <c r="L28" s="29" t="s">
        <v>85</v>
      </c>
      <c r="M28" s="29" t="s">
        <v>82</v>
      </c>
      <c r="N28" s="29" t="s">
        <v>86</v>
      </c>
      <c r="O28" s="54" t="s">
        <v>87</v>
      </c>
      <c r="P28" s="54">
        <v>44405</v>
      </c>
      <c r="Q28" s="29">
        <v>22</v>
      </c>
      <c r="R28" s="29" t="s">
        <v>88</v>
      </c>
      <c r="S28" s="32" t="s">
        <v>79</v>
      </c>
      <c r="T28" s="29" t="s">
        <v>79</v>
      </c>
    </row>
    <row r="29" s="29" customFormat="1" spans="1:19">
      <c r="A29" s="33" t="s">
        <v>28</v>
      </c>
      <c r="C29" s="32"/>
      <c r="D29" s="32"/>
      <c r="E29" s="32"/>
      <c r="F29" s="32"/>
      <c r="G29" s="32"/>
      <c r="I29" s="33"/>
      <c r="O29" s="54"/>
      <c r="S29" s="32"/>
    </row>
    <row r="30" s="29" customFormat="1" spans="1:19">
      <c r="A30" s="33"/>
      <c r="C30" s="32"/>
      <c r="D30" s="32"/>
      <c r="E30" s="32"/>
      <c r="F30" s="32"/>
      <c r="G30" s="32"/>
      <c r="I30" s="33"/>
      <c r="O30" s="54"/>
      <c r="S30" s="32"/>
    </row>
    <row r="31" s="29" customFormat="1" spans="1:19">
      <c r="A31" s="33"/>
      <c r="C31" s="32"/>
      <c r="D31" s="32"/>
      <c r="E31" s="32"/>
      <c r="F31" s="32"/>
      <c r="G31" s="32"/>
      <c r="I31" s="33"/>
      <c r="O31" s="54"/>
      <c r="S31" s="32"/>
    </row>
    <row r="32" s="29" customFormat="1" spans="1:19">
      <c r="A32" s="33"/>
      <c r="C32" s="32"/>
      <c r="D32" s="32"/>
      <c r="E32" s="32"/>
      <c r="F32" s="32"/>
      <c r="G32" s="32"/>
      <c r="I32" s="33"/>
      <c r="O32" s="54"/>
      <c r="S32" s="32"/>
    </row>
    <row r="33" s="29" customFormat="1" spans="1:19">
      <c r="A33" s="33"/>
      <c r="C33" s="32"/>
      <c r="D33" s="32"/>
      <c r="E33" s="32"/>
      <c r="F33" s="32"/>
      <c r="G33" s="32"/>
      <c r="I33" s="33"/>
      <c r="O33" s="54"/>
      <c r="S33" s="32"/>
    </row>
    <row r="34" s="29" customFormat="1" spans="1:19">
      <c r="A34" s="33"/>
      <c r="C34" s="32"/>
      <c r="D34" s="32"/>
      <c r="E34" s="32"/>
      <c r="F34" s="32"/>
      <c r="G34" s="32"/>
      <c r="I34" s="33"/>
      <c r="O34" s="54"/>
      <c r="S34" s="32"/>
    </row>
    <row r="35" s="29" customFormat="1" spans="1:19">
      <c r="A35" s="33"/>
      <c r="C35" s="32"/>
      <c r="D35" s="32"/>
      <c r="E35" s="32"/>
      <c r="F35" s="32"/>
      <c r="G35" s="32"/>
      <c r="I35" s="33"/>
      <c r="O35" s="54"/>
      <c r="S35" s="32"/>
    </row>
    <row r="36" s="29" customFormat="1" spans="1:19">
      <c r="A36" s="33"/>
      <c r="C36" s="32"/>
      <c r="D36" s="32"/>
      <c r="E36" s="32"/>
      <c r="F36" s="32"/>
      <c r="G36" s="32"/>
      <c r="I36" s="33"/>
      <c r="O36" s="54"/>
      <c r="S36" s="32"/>
    </row>
    <row r="37" s="29" customFormat="1" spans="1:19">
      <c r="A37" s="33"/>
      <c r="C37" s="32"/>
      <c r="D37" s="32"/>
      <c r="E37" s="32"/>
      <c r="F37" s="32"/>
      <c r="G37" s="32"/>
      <c r="I37" s="33"/>
      <c r="O37" s="54"/>
      <c r="S37" s="32"/>
    </row>
    <row r="38" s="29" customFormat="1" spans="1:19">
      <c r="A38" s="33"/>
      <c r="C38" s="32"/>
      <c r="D38" s="32"/>
      <c r="E38" s="32"/>
      <c r="F38" s="32"/>
      <c r="G38" s="32"/>
      <c r="I38" s="33"/>
      <c r="O38" s="54"/>
      <c r="S38" s="32"/>
    </row>
    <row r="39" s="29" customFormat="1" spans="1:19">
      <c r="A39" s="33"/>
      <c r="C39" s="32"/>
      <c r="D39" s="32"/>
      <c r="E39" s="32"/>
      <c r="F39" s="32"/>
      <c r="G39" s="32"/>
      <c r="I39" s="33"/>
      <c r="O39" s="54"/>
      <c r="S39" s="32"/>
    </row>
    <row r="40" s="29" customFormat="1" spans="1:19">
      <c r="A40" s="33"/>
      <c r="C40" s="32"/>
      <c r="D40" s="32"/>
      <c r="E40" s="32"/>
      <c r="F40" s="32"/>
      <c r="G40" s="32"/>
      <c r="I40" s="33"/>
      <c r="O40" s="54"/>
      <c r="S40" s="32"/>
    </row>
    <row r="41" s="29" customFormat="1" spans="1:19">
      <c r="A41" s="33"/>
      <c r="C41" s="32"/>
      <c r="D41" s="32"/>
      <c r="E41" s="32"/>
      <c r="F41" s="32"/>
      <c r="G41" s="32"/>
      <c r="I41" s="33"/>
      <c r="O41" s="54"/>
      <c r="S41" s="32"/>
    </row>
    <row r="42" s="29" customFormat="1" spans="1:19">
      <c r="A42" s="33"/>
      <c r="C42" s="32"/>
      <c r="D42" s="32"/>
      <c r="E42" s="32"/>
      <c r="F42" s="32"/>
      <c r="G42" s="32"/>
      <c r="I42" s="33"/>
      <c r="O42" s="54"/>
      <c r="S42" s="32"/>
    </row>
    <row r="43" s="29" customFormat="1" spans="1:19">
      <c r="A43" s="33"/>
      <c r="C43" s="32"/>
      <c r="D43" s="32"/>
      <c r="E43" s="32"/>
      <c r="F43" s="32"/>
      <c r="G43" s="32"/>
      <c r="I43" s="33"/>
      <c r="O43" s="54"/>
      <c r="S43" s="32"/>
    </row>
    <row r="44" s="29" customFormat="1" spans="1:19">
      <c r="A44" s="33"/>
      <c r="C44" s="32"/>
      <c r="D44" s="32"/>
      <c r="E44" s="32"/>
      <c r="F44" s="32"/>
      <c r="G44" s="32"/>
      <c r="I44" s="33"/>
      <c r="O44" s="54"/>
      <c r="S44" s="32"/>
    </row>
    <row r="45" s="29" customFormat="1" spans="1:19">
      <c r="A45" s="33"/>
      <c r="C45" s="32"/>
      <c r="D45" s="32"/>
      <c r="E45" s="32"/>
      <c r="F45" s="32"/>
      <c r="G45" s="32"/>
      <c r="I45" s="33"/>
      <c r="O45" s="54"/>
      <c r="S45" s="32"/>
    </row>
    <row r="46" s="29" customFormat="1" spans="1:19">
      <c r="A46" s="33"/>
      <c r="C46" s="32"/>
      <c r="D46" s="32"/>
      <c r="E46" s="32"/>
      <c r="F46" s="32"/>
      <c r="G46" s="32"/>
      <c r="I46" s="33"/>
      <c r="O46" s="54"/>
      <c r="S46" s="32"/>
    </row>
    <row r="47" s="29" customFormat="1" spans="1:19">
      <c r="A47" s="33"/>
      <c r="C47" s="32"/>
      <c r="D47" s="32"/>
      <c r="E47" s="32"/>
      <c r="F47" s="32"/>
      <c r="G47" s="32"/>
      <c r="I47" s="33"/>
      <c r="O47" s="54"/>
      <c r="S47" s="32"/>
    </row>
    <row r="48" s="29" customFormat="1" spans="1:19">
      <c r="A48" s="33"/>
      <c r="C48" s="32"/>
      <c r="D48" s="32"/>
      <c r="E48" s="32"/>
      <c r="F48" s="32"/>
      <c r="G48" s="32"/>
      <c r="I48" s="33"/>
      <c r="O48" s="54"/>
      <c r="S48" s="32"/>
    </row>
    <row r="49" s="29" customFormat="1" spans="1:19">
      <c r="A49" s="33"/>
      <c r="C49" s="32"/>
      <c r="D49" s="32"/>
      <c r="E49" s="32"/>
      <c r="F49" s="32"/>
      <c r="G49" s="32"/>
      <c r="I49" s="33"/>
      <c r="O49" s="54"/>
      <c r="S49" s="32"/>
    </row>
    <row r="50" s="29" customFormat="1" spans="1:19">
      <c r="A50" s="33"/>
      <c r="C50" s="32"/>
      <c r="D50" s="32"/>
      <c r="E50" s="32"/>
      <c r="F50" s="32"/>
      <c r="G50" s="32"/>
      <c r="I50" s="33"/>
      <c r="O50" s="54"/>
      <c r="S50" s="32"/>
    </row>
    <row r="51" s="29" customFormat="1" spans="1:19">
      <c r="A51" s="33"/>
      <c r="C51" s="32"/>
      <c r="D51" s="32"/>
      <c r="E51" s="32"/>
      <c r="F51" s="32"/>
      <c r="G51" s="32"/>
      <c r="I51" s="33"/>
      <c r="O51" s="54"/>
      <c r="S51" s="32"/>
    </row>
    <row r="52" s="29" customFormat="1" spans="1:19">
      <c r="A52" s="33"/>
      <c r="C52" s="32"/>
      <c r="D52" s="32"/>
      <c r="E52" s="32"/>
      <c r="F52" s="32"/>
      <c r="G52" s="32"/>
      <c r="I52" s="33"/>
      <c r="O52" s="54"/>
      <c r="S52" s="32"/>
    </row>
    <row r="53" s="29" customFormat="1" spans="1:19">
      <c r="A53" s="33"/>
      <c r="C53" s="32"/>
      <c r="D53" s="32"/>
      <c r="E53" s="32"/>
      <c r="F53" s="32"/>
      <c r="G53" s="32"/>
      <c r="I53" s="33"/>
      <c r="O53" s="54"/>
      <c r="S53" s="32"/>
    </row>
    <row r="54" s="29" customFormat="1" spans="1:19">
      <c r="A54" s="33"/>
      <c r="C54" s="32"/>
      <c r="D54" s="32"/>
      <c r="E54" s="32"/>
      <c r="F54" s="32"/>
      <c r="G54" s="32"/>
      <c r="I54" s="33"/>
      <c r="O54" s="54"/>
      <c r="S54" s="32"/>
    </row>
    <row r="55" s="29" customFormat="1" spans="1:19">
      <c r="A55" s="33"/>
      <c r="C55" s="32"/>
      <c r="D55" s="32"/>
      <c r="E55" s="32"/>
      <c r="F55" s="32"/>
      <c r="G55" s="32"/>
      <c r="I55" s="33"/>
      <c r="O55" s="54"/>
      <c r="S55" s="32"/>
    </row>
    <row r="56" s="29" customFormat="1" spans="1:19">
      <c r="A56" s="33"/>
      <c r="C56" s="32"/>
      <c r="D56" s="32"/>
      <c r="E56" s="32"/>
      <c r="F56" s="32"/>
      <c r="G56" s="32"/>
      <c r="I56" s="33"/>
      <c r="O56" s="54"/>
      <c r="S56" s="32"/>
    </row>
    <row r="57" s="29" customFormat="1" spans="1:19">
      <c r="A57" s="33"/>
      <c r="C57" s="32"/>
      <c r="D57" s="32"/>
      <c r="E57" s="32"/>
      <c r="F57" s="32"/>
      <c r="G57" s="32"/>
      <c r="I57" s="33"/>
      <c r="O57" s="54"/>
      <c r="S57" s="32"/>
    </row>
    <row r="58" s="29" customFormat="1" spans="1:19">
      <c r="A58" s="33"/>
      <c r="C58" s="32"/>
      <c r="D58" s="32"/>
      <c r="E58" s="32"/>
      <c r="F58" s="32"/>
      <c r="G58" s="32"/>
      <c r="I58" s="33"/>
      <c r="O58" s="54"/>
      <c r="S58" s="32"/>
    </row>
    <row r="59" s="29" customFormat="1" spans="1:19">
      <c r="A59" s="33"/>
      <c r="C59" s="32"/>
      <c r="D59" s="32"/>
      <c r="E59" s="32"/>
      <c r="F59" s="32"/>
      <c r="G59" s="32"/>
      <c r="I59" s="33"/>
      <c r="O59" s="54"/>
      <c r="S59" s="32"/>
    </row>
    <row r="60" s="29" customFormat="1" spans="1:19">
      <c r="A60" s="33"/>
      <c r="C60" s="32"/>
      <c r="D60" s="32"/>
      <c r="E60" s="32"/>
      <c r="F60" s="32"/>
      <c r="G60" s="32"/>
      <c r="I60" s="33"/>
      <c r="O60" s="54"/>
      <c r="S60" s="32"/>
    </row>
    <row r="61" s="29" customFormat="1" spans="1:19">
      <c r="A61" s="33"/>
      <c r="C61" s="32"/>
      <c r="D61" s="32"/>
      <c r="E61" s="32"/>
      <c r="F61" s="32"/>
      <c r="G61" s="32"/>
      <c r="I61" s="33"/>
      <c r="O61" s="54"/>
      <c r="S61" s="32"/>
    </row>
    <row r="62" s="29" customFormat="1" spans="1:19">
      <c r="A62" s="33"/>
      <c r="C62" s="32"/>
      <c r="D62" s="32"/>
      <c r="E62" s="32"/>
      <c r="F62" s="32"/>
      <c r="G62" s="32"/>
      <c r="I62" s="33"/>
      <c r="O62" s="54"/>
      <c r="S62" s="32"/>
    </row>
    <row r="63" s="29" customFormat="1" spans="1:19">
      <c r="A63" s="33"/>
      <c r="C63" s="32"/>
      <c r="D63" s="32"/>
      <c r="E63" s="32"/>
      <c r="F63" s="32"/>
      <c r="G63" s="32"/>
      <c r="I63" s="33"/>
      <c r="O63" s="54"/>
      <c r="S63" s="32"/>
    </row>
    <row r="64" s="29" customFormat="1" spans="1:19">
      <c r="A64" s="33"/>
      <c r="C64" s="32"/>
      <c r="D64" s="32"/>
      <c r="E64" s="32"/>
      <c r="F64" s="32"/>
      <c r="G64" s="32"/>
      <c r="I64" s="33"/>
      <c r="O64" s="54"/>
      <c r="S64" s="32"/>
    </row>
    <row r="65" s="29" customFormat="1" spans="1:19">
      <c r="A65" s="33"/>
      <c r="C65" s="32"/>
      <c r="D65" s="32"/>
      <c r="E65" s="32"/>
      <c r="F65" s="32"/>
      <c r="G65" s="32"/>
      <c r="I65" s="33"/>
      <c r="O65" s="54"/>
      <c r="S65" s="32"/>
    </row>
    <row r="66" s="29" customFormat="1" spans="1:19">
      <c r="A66" s="33"/>
      <c r="C66" s="32"/>
      <c r="D66" s="32"/>
      <c r="E66" s="32"/>
      <c r="F66" s="32"/>
      <c r="G66" s="32"/>
      <c r="I66" s="33"/>
      <c r="O66" s="54"/>
      <c r="S66" s="32"/>
    </row>
    <row r="67" s="29" customFormat="1" spans="1:19">
      <c r="A67" s="33"/>
      <c r="C67" s="32"/>
      <c r="D67" s="32"/>
      <c r="E67" s="32"/>
      <c r="F67" s="32"/>
      <c r="G67" s="32"/>
      <c r="I67" s="33"/>
      <c r="O67" s="54"/>
      <c r="S67" s="32"/>
    </row>
    <row r="68" s="29" customFormat="1" spans="1:19">
      <c r="A68" s="33"/>
      <c r="C68" s="32"/>
      <c r="D68" s="32"/>
      <c r="E68" s="32"/>
      <c r="F68" s="32"/>
      <c r="G68" s="32"/>
      <c r="I68" s="33"/>
      <c r="O68" s="54"/>
      <c r="S68" s="32"/>
    </row>
    <row r="69" s="29" customFormat="1" spans="1:19">
      <c r="A69" s="33"/>
      <c r="C69" s="32"/>
      <c r="D69" s="32"/>
      <c r="E69" s="32"/>
      <c r="F69" s="32"/>
      <c r="G69" s="32"/>
      <c r="I69" s="33"/>
      <c r="O69" s="54"/>
      <c r="S69" s="32"/>
    </row>
    <row r="70" s="29" customFormat="1" spans="1:19">
      <c r="A70" s="33"/>
      <c r="C70" s="32"/>
      <c r="D70" s="32"/>
      <c r="E70" s="32"/>
      <c r="F70" s="32"/>
      <c r="G70" s="32"/>
      <c r="I70" s="33"/>
      <c r="O70" s="54"/>
      <c r="S70" s="32"/>
    </row>
    <row r="71" s="29" customFormat="1" spans="1:19">
      <c r="A71" s="33"/>
      <c r="C71" s="32"/>
      <c r="D71" s="32"/>
      <c r="E71" s="32"/>
      <c r="F71" s="32"/>
      <c r="G71" s="32"/>
      <c r="I71" s="33"/>
      <c r="O71" s="54"/>
      <c r="S71" s="32"/>
    </row>
    <row r="72" s="29" customFormat="1" spans="1:19">
      <c r="A72" s="33"/>
      <c r="C72" s="32"/>
      <c r="D72" s="32"/>
      <c r="E72" s="32"/>
      <c r="F72" s="32"/>
      <c r="G72" s="32"/>
      <c r="I72" s="33"/>
      <c r="O72" s="54"/>
      <c r="S72" s="32"/>
    </row>
    <row r="73" s="29" customFormat="1" spans="1:19">
      <c r="A73" s="33"/>
      <c r="C73" s="32"/>
      <c r="D73" s="32"/>
      <c r="E73" s="32"/>
      <c r="F73" s="32"/>
      <c r="G73" s="32"/>
      <c r="I73" s="33"/>
      <c r="O73" s="54"/>
      <c r="S73" s="32"/>
    </row>
    <row r="74" s="29" customFormat="1" spans="1:19">
      <c r="A74" s="33"/>
      <c r="C74" s="32"/>
      <c r="D74" s="32"/>
      <c r="E74" s="32"/>
      <c r="F74" s="32"/>
      <c r="G74" s="32"/>
      <c r="I74" s="33"/>
      <c r="O74" s="54"/>
      <c r="S74" s="32"/>
    </row>
    <row r="75" s="29" customFormat="1" spans="1:19">
      <c r="A75" s="33"/>
      <c r="C75" s="32"/>
      <c r="D75" s="32"/>
      <c r="E75" s="32"/>
      <c r="F75" s="32"/>
      <c r="G75" s="32"/>
      <c r="I75" s="33"/>
      <c r="O75" s="54"/>
      <c r="S75" s="32"/>
    </row>
    <row r="76" s="29" customFormat="1" spans="1:19">
      <c r="A76" s="33"/>
      <c r="C76" s="32"/>
      <c r="D76" s="32"/>
      <c r="E76" s="32"/>
      <c r="F76" s="32"/>
      <c r="G76" s="32"/>
      <c r="I76" s="33"/>
      <c r="O76" s="54"/>
      <c r="S76" s="32"/>
    </row>
    <row r="77" s="29" customFormat="1" spans="1:19">
      <c r="A77" s="33"/>
      <c r="C77" s="32"/>
      <c r="D77" s="32"/>
      <c r="E77" s="32"/>
      <c r="F77" s="32"/>
      <c r="G77" s="32"/>
      <c r="I77" s="33"/>
      <c r="O77" s="54"/>
      <c r="S77" s="32"/>
    </row>
    <row r="78" s="29" customFormat="1" spans="1:19">
      <c r="A78" s="33"/>
      <c r="C78" s="32"/>
      <c r="D78" s="32"/>
      <c r="E78" s="32"/>
      <c r="F78" s="32"/>
      <c r="G78" s="32"/>
      <c r="I78" s="33"/>
      <c r="O78" s="54"/>
      <c r="S78" s="32"/>
    </row>
    <row r="79" s="29" customFormat="1" spans="1:19">
      <c r="A79" s="33"/>
      <c r="C79" s="32"/>
      <c r="D79" s="32"/>
      <c r="E79" s="32"/>
      <c r="F79" s="32"/>
      <c r="G79" s="32"/>
      <c r="I79" s="33"/>
      <c r="O79" s="54"/>
      <c r="S79" s="32"/>
    </row>
    <row r="80" s="29" customFormat="1" spans="1:19">
      <c r="A80" s="33"/>
      <c r="C80" s="32"/>
      <c r="D80" s="32"/>
      <c r="E80" s="32"/>
      <c r="F80" s="32"/>
      <c r="G80" s="32"/>
      <c r="I80" s="33"/>
      <c r="O80" s="54"/>
      <c r="S80" s="32"/>
    </row>
    <row r="81" s="29" customFormat="1" spans="1:19">
      <c r="A81" s="33"/>
      <c r="C81" s="32"/>
      <c r="D81" s="32"/>
      <c r="E81" s="32"/>
      <c r="F81" s="32"/>
      <c r="G81" s="32"/>
      <c r="I81" s="33"/>
      <c r="O81" s="54"/>
      <c r="S81" s="32"/>
    </row>
    <row r="82" s="29" customFormat="1" spans="1:19">
      <c r="A82" s="33"/>
      <c r="C82" s="32"/>
      <c r="D82" s="32"/>
      <c r="E82" s="32"/>
      <c r="F82" s="32"/>
      <c r="G82" s="32"/>
      <c r="I82" s="33"/>
      <c r="O82" s="54"/>
      <c r="S82" s="32"/>
    </row>
    <row r="83" s="29" customFormat="1" spans="1:19">
      <c r="A83" s="33"/>
      <c r="C83" s="32"/>
      <c r="D83" s="32"/>
      <c r="E83" s="32"/>
      <c r="F83" s="32"/>
      <c r="G83" s="32"/>
      <c r="I83" s="33"/>
      <c r="O83" s="54"/>
      <c r="S83" s="32"/>
    </row>
    <row r="84" s="29" customFormat="1" spans="1:19">
      <c r="A84" s="33"/>
      <c r="C84" s="32"/>
      <c r="D84" s="32"/>
      <c r="E84" s="32"/>
      <c r="F84" s="32"/>
      <c r="G84" s="32"/>
      <c r="I84" s="33"/>
      <c r="O84" s="54"/>
      <c r="S84" s="32"/>
    </row>
    <row r="85" s="29" customFormat="1" spans="1:19">
      <c r="A85" s="33"/>
      <c r="C85" s="32"/>
      <c r="D85" s="32"/>
      <c r="E85" s="32"/>
      <c r="F85" s="32"/>
      <c r="G85" s="32"/>
      <c r="I85" s="33"/>
      <c r="O85" s="54"/>
      <c r="S85" s="32"/>
    </row>
    <row r="86" s="29" customFormat="1" spans="1:19">
      <c r="A86" s="33"/>
      <c r="C86" s="32"/>
      <c r="D86" s="32"/>
      <c r="E86" s="32"/>
      <c r="F86" s="32"/>
      <c r="G86" s="32"/>
      <c r="I86" s="33"/>
      <c r="O86" s="54"/>
      <c r="S86" s="32"/>
    </row>
    <row r="87" s="29" customFormat="1" spans="1:19">
      <c r="A87" s="33"/>
      <c r="C87" s="32"/>
      <c r="D87" s="32"/>
      <c r="E87" s="32"/>
      <c r="F87" s="32"/>
      <c r="G87" s="32"/>
      <c r="I87" s="33"/>
      <c r="O87" s="54"/>
      <c r="S87" s="32"/>
    </row>
    <row r="88" s="29" customFormat="1" spans="1:19">
      <c r="A88" s="33"/>
      <c r="C88" s="32"/>
      <c r="D88" s="32"/>
      <c r="E88" s="32"/>
      <c r="F88" s="32"/>
      <c r="G88" s="32"/>
      <c r="I88" s="33"/>
      <c r="O88" s="54"/>
      <c r="S88" s="32"/>
    </row>
    <row r="89" s="29" customFormat="1" spans="1:19">
      <c r="A89" s="33"/>
      <c r="C89" s="32"/>
      <c r="D89" s="32"/>
      <c r="E89" s="32"/>
      <c r="F89" s="32"/>
      <c r="G89" s="32"/>
      <c r="I89" s="33"/>
      <c r="O89" s="54"/>
      <c r="S89" s="32"/>
    </row>
    <row r="90" s="29" customFormat="1" spans="1:19">
      <c r="A90" s="33"/>
      <c r="C90" s="32"/>
      <c r="D90" s="32"/>
      <c r="E90" s="32"/>
      <c r="F90" s="32"/>
      <c r="G90" s="32"/>
      <c r="I90" s="33"/>
      <c r="O90" s="54"/>
      <c r="S90" s="32"/>
    </row>
    <row r="91" s="29" customFormat="1" spans="1:19">
      <c r="A91" s="33"/>
      <c r="C91" s="32"/>
      <c r="D91" s="32"/>
      <c r="E91" s="32"/>
      <c r="F91" s="32"/>
      <c r="G91" s="32"/>
      <c r="I91" s="33"/>
      <c r="O91" s="54"/>
      <c r="S91" s="32"/>
    </row>
    <row r="92" s="29" customFormat="1" spans="1:19">
      <c r="A92" s="33"/>
      <c r="C92" s="32"/>
      <c r="D92" s="32"/>
      <c r="E92" s="32"/>
      <c r="F92" s="32"/>
      <c r="G92" s="32"/>
      <c r="I92" s="33"/>
      <c r="O92" s="54"/>
      <c r="S92" s="32"/>
    </row>
    <row r="93" s="29" customFormat="1" spans="1:19">
      <c r="A93" s="32"/>
      <c r="C93" s="32"/>
      <c r="D93" s="32"/>
      <c r="E93" s="32"/>
      <c r="F93" s="32"/>
      <c r="G93" s="32"/>
      <c r="I93" s="33"/>
      <c r="O93" s="54"/>
      <c r="S93" s="32"/>
    </row>
    <row r="94" s="29" customFormat="1" spans="1:19">
      <c r="A94" s="32"/>
      <c r="C94" s="32"/>
      <c r="D94" s="32"/>
      <c r="E94" s="32"/>
      <c r="F94" s="32"/>
      <c r="G94" s="32"/>
      <c r="I94" s="33"/>
      <c r="O94" s="54"/>
      <c r="S94" s="32"/>
    </row>
    <row r="95" s="29" customFormat="1" spans="1:19">
      <c r="A95" s="32"/>
      <c r="C95" s="32"/>
      <c r="D95" s="32"/>
      <c r="E95" s="32"/>
      <c r="F95" s="32"/>
      <c r="G95" s="32"/>
      <c r="I95" s="33"/>
      <c r="O95" s="54"/>
      <c r="S95" s="32"/>
    </row>
    <row r="96" s="29" customFormat="1" spans="1:19">
      <c r="A96" s="32"/>
      <c r="C96" s="32"/>
      <c r="D96" s="32"/>
      <c r="E96" s="32"/>
      <c r="F96" s="32"/>
      <c r="G96" s="32"/>
      <c r="I96" s="33"/>
      <c r="O96" s="54"/>
      <c r="S96" s="32"/>
    </row>
    <row r="97" s="29" customFormat="1" spans="1:19">
      <c r="A97" s="32"/>
      <c r="C97" s="32"/>
      <c r="D97" s="32"/>
      <c r="E97" s="32"/>
      <c r="F97" s="32"/>
      <c r="G97" s="32"/>
      <c r="I97" s="33"/>
      <c r="O97" s="54"/>
      <c r="S97" s="32"/>
    </row>
    <row r="98" s="29" customFormat="1" spans="1:19">
      <c r="A98" s="32"/>
      <c r="C98" s="32"/>
      <c r="D98" s="32"/>
      <c r="E98" s="32"/>
      <c r="F98" s="32"/>
      <c r="G98" s="32"/>
      <c r="I98" s="33"/>
      <c r="O98" s="54"/>
      <c r="S98" s="32"/>
    </row>
    <row r="99" s="29" customFormat="1" spans="1:19">
      <c r="A99" s="32"/>
      <c r="C99" s="32"/>
      <c r="D99" s="32"/>
      <c r="E99" s="32"/>
      <c r="F99" s="32"/>
      <c r="G99" s="32"/>
      <c r="I99" s="33"/>
      <c r="O99" s="54"/>
      <c r="S99" s="32"/>
    </row>
    <row r="100" s="29" customFormat="1" spans="1:19">
      <c r="A100" s="32"/>
      <c r="C100" s="32"/>
      <c r="D100" s="32"/>
      <c r="E100" s="32"/>
      <c r="F100" s="32"/>
      <c r="G100" s="32"/>
      <c r="I100" s="33"/>
      <c r="O100" s="54"/>
      <c r="S100" s="32"/>
    </row>
    <row r="101" s="29" customFormat="1" spans="1:19">
      <c r="A101" s="32"/>
      <c r="C101" s="32"/>
      <c r="D101" s="32"/>
      <c r="E101" s="32"/>
      <c r="F101" s="32"/>
      <c r="G101" s="32"/>
      <c r="I101" s="33"/>
      <c r="O101" s="54"/>
      <c r="S101" s="32"/>
    </row>
    <row r="102" s="29" customFormat="1" spans="1:19">
      <c r="A102" s="32"/>
      <c r="C102" s="32"/>
      <c r="D102" s="32"/>
      <c r="E102" s="32"/>
      <c r="F102" s="32"/>
      <c r="G102" s="32"/>
      <c r="I102" s="33"/>
      <c r="O102" s="54"/>
      <c r="S102" s="32"/>
    </row>
    <row r="103" s="29" customFormat="1" spans="1:19">
      <c r="A103" s="32"/>
      <c r="C103" s="32"/>
      <c r="D103" s="32"/>
      <c r="E103" s="32"/>
      <c r="F103" s="32"/>
      <c r="G103" s="32"/>
      <c r="I103" s="33"/>
      <c r="O103" s="54"/>
      <c r="S103" s="32"/>
    </row>
    <row r="104" s="29" customFormat="1" spans="1:19">
      <c r="A104" s="32"/>
      <c r="C104" s="32"/>
      <c r="D104" s="32"/>
      <c r="E104" s="32"/>
      <c r="F104" s="32"/>
      <c r="G104" s="32"/>
      <c r="I104" s="33"/>
      <c r="O104" s="54"/>
      <c r="S104" s="32"/>
    </row>
    <row r="105" s="29" customFormat="1" spans="1:19">
      <c r="A105" s="32"/>
      <c r="C105" s="32"/>
      <c r="D105" s="32"/>
      <c r="E105" s="32"/>
      <c r="F105" s="32"/>
      <c r="G105" s="32"/>
      <c r="I105" s="33"/>
      <c r="O105" s="54"/>
      <c r="S105" s="32"/>
    </row>
    <row r="106" s="29" customFormat="1" spans="1:19">
      <c r="A106" s="32"/>
      <c r="C106" s="32"/>
      <c r="D106" s="32"/>
      <c r="E106" s="32"/>
      <c r="F106" s="32"/>
      <c r="G106" s="32"/>
      <c r="I106" s="33"/>
      <c r="O106" s="54"/>
      <c r="S106" s="32"/>
    </row>
    <row r="107" s="29" customFormat="1" spans="1:19">
      <c r="A107" s="32"/>
      <c r="C107" s="32"/>
      <c r="D107" s="32"/>
      <c r="E107" s="32"/>
      <c r="F107" s="32"/>
      <c r="G107" s="32"/>
      <c r="I107" s="33"/>
      <c r="O107" s="54"/>
      <c r="S107" s="32"/>
    </row>
    <row r="108" s="29" customFormat="1" spans="1:19">
      <c r="A108" s="32"/>
      <c r="C108" s="32"/>
      <c r="D108" s="32"/>
      <c r="E108" s="32"/>
      <c r="F108" s="32"/>
      <c r="G108" s="32"/>
      <c r="I108" s="33"/>
      <c r="O108" s="54"/>
      <c r="S108" s="32"/>
    </row>
    <row r="109" s="29" customFormat="1" spans="1:19">
      <c r="A109" s="32"/>
      <c r="C109" s="32"/>
      <c r="D109" s="32"/>
      <c r="E109" s="32"/>
      <c r="F109" s="32"/>
      <c r="G109" s="32"/>
      <c r="I109" s="33"/>
      <c r="O109" s="54"/>
      <c r="S109" s="32"/>
    </row>
    <row r="110" s="29" customFormat="1" spans="1:19">
      <c r="A110" s="32"/>
      <c r="C110" s="32"/>
      <c r="D110" s="32"/>
      <c r="E110" s="32"/>
      <c r="F110" s="32"/>
      <c r="G110" s="32"/>
      <c r="I110" s="33"/>
      <c r="O110" s="54"/>
      <c r="S110" s="32"/>
    </row>
    <row r="111" s="29" customFormat="1" spans="1:19">
      <c r="A111" s="32"/>
      <c r="C111" s="32"/>
      <c r="D111" s="32"/>
      <c r="E111" s="32"/>
      <c r="F111" s="32"/>
      <c r="G111" s="32"/>
      <c r="I111" s="33"/>
      <c r="O111" s="54"/>
      <c r="S111" s="32"/>
    </row>
    <row r="112" s="29" customFormat="1" spans="1:19">
      <c r="A112" s="32"/>
      <c r="C112" s="32"/>
      <c r="D112" s="32"/>
      <c r="E112" s="32"/>
      <c r="F112" s="32"/>
      <c r="G112" s="32"/>
      <c r="I112" s="33"/>
      <c r="O112" s="54"/>
      <c r="S112" s="32"/>
    </row>
    <row r="113" s="29" customFormat="1" spans="1:19">
      <c r="A113" s="32"/>
      <c r="C113" s="32"/>
      <c r="D113" s="32"/>
      <c r="E113" s="32"/>
      <c r="F113" s="32"/>
      <c r="G113" s="32"/>
      <c r="I113" s="33"/>
      <c r="O113" s="54"/>
      <c r="S113" s="32"/>
    </row>
    <row r="114" s="29" customFormat="1" spans="1:19">
      <c r="A114" s="32"/>
      <c r="C114" s="32"/>
      <c r="D114" s="32"/>
      <c r="E114" s="32"/>
      <c r="F114" s="32"/>
      <c r="G114" s="32"/>
      <c r="I114" s="33"/>
      <c r="O114" s="54"/>
      <c r="S114" s="32"/>
    </row>
    <row r="115" s="29" customFormat="1" spans="1:19">
      <c r="A115" s="32"/>
      <c r="C115" s="32"/>
      <c r="D115" s="32"/>
      <c r="E115" s="32"/>
      <c r="F115" s="32"/>
      <c r="G115" s="32"/>
      <c r="I115" s="33"/>
      <c r="O115" s="54"/>
      <c r="S115" s="32"/>
    </row>
    <row r="116" s="29" customFormat="1" spans="1:19">
      <c r="A116" s="32"/>
      <c r="C116" s="32"/>
      <c r="D116" s="32"/>
      <c r="E116" s="32"/>
      <c r="F116" s="32"/>
      <c r="G116" s="32"/>
      <c r="I116" s="33"/>
      <c r="O116" s="54"/>
      <c r="S116" s="32"/>
    </row>
    <row r="117" s="29" customFormat="1" spans="1:19">
      <c r="A117" s="32"/>
      <c r="C117" s="32"/>
      <c r="D117" s="32"/>
      <c r="E117" s="32"/>
      <c r="F117" s="32"/>
      <c r="G117" s="32"/>
      <c r="I117" s="33"/>
      <c r="O117" s="54"/>
      <c r="S117" s="32"/>
    </row>
    <row r="118" s="29" customFormat="1" spans="1:19">
      <c r="A118" s="32"/>
      <c r="C118" s="32"/>
      <c r="D118" s="32"/>
      <c r="E118" s="32"/>
      <c r="F118" s="32"/>
      <c r="G118" s="32"/>
      <c r="I118" s="33"/>
      <c r="O118" s="54"/>
      <c r="S118" s="32"/>
    </row>
    <row r="119" s="29" customFormat="1" spans="1:19">
      <c r="A119" s="32"/>
      <c r="C119" s="32"/>
      <c r="D119" s="32"/>
      <c r="E119" s="32"/>
      <c r="F119" s="32"/>
      <c r="G119" s="32"/>
      <c r="I119" s="33"/>
      <c r="O119" s="54"/>
      <c r="S119" s="32"/>
    </row>
    <row r="120" s="29" customFormat="1" spans="1:19">
      <c r="A120" s="32"/>
      <c r="C120" s="32"/>
      <c r="D120" s="32"/>
      <c r="E120" s="32"/>
      <c r="F120" s="32"/>
      <c r="G120" s="32"/>
      <c r="I120" s="33"/>
      <c r="O120" s="54"/>
      <c r="S120" s="32"/>
    </row>
    <row r="121" s="29" customFormat="1" spans="1:19">
      <c r="A121" s="32"/>
      <c r="C121" s="32"/>
      <c r="D121" s="32"/>
      <c r="E121" s="32"/>
      <c r="F121" s="32"/>
      <c r="G121" s="32"/>
      <c r="I121" s="33"/>
      <c r="O121" s="54"/>
      <c r="S121" s="32"/>
    </row>
    <row r="122" s="29" customFormat="1" spans="1:19">
      <c r="A122" s="32"/>
      <c r="C122" s="32"/>
      <c r="D122" s="32"/>
      <c r="E122" s="32"/>
      <c r="F122" s="32"/>
      <c r="G122" s="32"/>
      <c r="I122" s="33"/>
      <c r="O122" s="54"/>
      <c r="S122" s="32"/>
    </row>
    <row r="123" s="29" customFormat="1" spans="1:19">
      <c r="A123" s="32"/>
      <c r="C123" s="32"/>
      <c r="D123" s="32"/>
      <c r="E123" s="32"/>
      <c r="F123" s="32"/>
      <c r="G123" s="32"/>
      <c r="I123" s="33"/>
      <c r="O123" s="54"/>
      <c r="S123" s="32"/>
    </row>
  </sheetData>
  <dataValidations count="2">
    <dataValidation type="list" allowBlank="1" showInputMessage="1" showErrorMessage="1" sqref="A3 A60:A92">
      <formula1>[1]常用代码!#REF!</formula1>
    </dataValidation>
    <dataValidation type="list" allowBlank="1" showInputMessage="1" showErrorMessage="1" sqref="A21:A28 A29:A59">
      <formula1>常用代码!$C:$C</formula1>
    </dataValidation>
  </dataValidations>
  <pageMargins left="0.75" right="0.75" top="1" bottom="1" header="0.5" footer="0.5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name="Button 1" r:id="rId3">
              <controlPr print="0" defaultSize="0">
                <anchor>
                  <from>
                    <xdr:col>7</xdr:col>
                    <xdr:colOff>600075</xdr:colOff>
                    <xdr:row>0</xdr:row>
                    <xdr:rowOff>0</xdr:rowOff>
                  </from>
                  <to>
                    <xdr:col>9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name="Button 2" r:id="rId4">
              <controlPr print="0" defaultSize="0">
                <anchor>
                  <from>
                    <xdr:col>6</xdr:col>
                    <xdr:colOff>180975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name="Button 3" r:id="rId5">
              <controlPr print="0" defaultSize="0">
                <anchor>
                  <from>
                    <xdr:col>9</xdr:col>
                    <xdr:colOff>533400</xdr:colOff>
                    <xdr:row>0</xdr:row>
                    <xdr:rowOff>9525</xdr:rowOff>
                  </from>
                  <to>
                    <xdr:col>10</xdr:col>
                    <xdr:colOff>647700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name="Button 4" r:id="rId6">
              <controlPr print="0" defaultSize="0">
                <anchor>
                  <from>
                    <xdr:col>10</xdr:col>
                    <xdr:colOff>771525</xdr:colOff>
                    <xdr:row>0</xdr:row>
                    <xdr:rowOff>9525</xdr:rowOff>
                  </from>
                  <to>
                    <xdr:col>11</xdr:col>
                    <xdr:colOff>733425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name="Button 5" r:id="rId7">
              <controlPr print="0" defaultSize="0">
                <anchor>
                  <from>
                    <xdr:col>11</xdr:col>
                    <xdr:colOff>762000</xdr:colOff>
                    <xdr:row>0</xdr:row>
                    <xdr:rowOff>9525</xdr:rowOff>
                  </from>
                  <to>
                    <xdr:col>11</xdr:col>
                    <xdr:colOff>1657350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name="Button 6" r:id="rId8">
              <controlPr print="0" defaultSize="0">
                <anchor>
                  <from>
                    <xdr:col>12</xdr:col>
                    <xdr:colOff>438150</xdr:colOff>
                    <xdr:row>0</xdr:row>
                    <xdr:rowOff>0</xdr:rowOff>
                  </from>
                  <to>
                    <xdr:col>13</xdr:col>
                    <xdr:colOff>381000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V3"/>
  <sheetViews>
    <sheetView workbookViewId="0">
      <selection activeCell="E13" sqref="E13"/>
    </sheetView>
  </sheetViews>
  <sheetFormatPr defaultColWidth="9" defaultRowHeight="13.5" outlineLevelRow="2"/>
  <cols>
    <col min="1" max="1" width="13.25" style="18" customWidth="1"/>
    <col min="2" max="2" width="9" style="18" customWidth="1"/>
    <col min="3" max="3" width="12.75" style="18" customWidth="1"/>
    <col min="4" max="4" width="12.625" style="12" customWidth="1"/>
    <col min="5" max="5" width="13" style="18" customWidth="1"/>
    <col min="6" max="6" width="14.25" style="18" customWidth="1"/>
    <col min="7" max="7" width="13.75" style="18" customWidth="1"/>
    <col min="8" max="8" width="15.375" style="18" customWidth="1"/>
    <col min="9" max="9" width="10.75" style="18" customWidth="1"/>
    <col min="10" max="10" width="14.25" style="18" customWidth="1"/>
    <col min="11" max="11" width="2.5" style="18" customWidth="1"/>
    <col min="12" max="12" width="9.75" style="18" customWidth="1"/>
    <col min="13" max="13" width="14.125" style="18" customWidth="1"/>
    <col min="14" max="14" width="11.75" style="18" customWidth="1"/>
    <col min="15" max="15" width="7.5" style="18" customWidth="1"/>
    <col min="16" max="16" width="8" style="18" customWidth="1"/>
    <col min="17" max="17" width="7.75" style="18" customWidth="1"/>
    <col min="18" max="18" width="6.375" style="18" customWidth="1"/>
    <col min="19" max="19" width="9" style="18"/>
    <col min="20" max="26" width="8.125" style="18" customWidth="1"/>
    <col min="27" max="16384" width="9" style="18"/>
  </cols>
  <sheetData>
    <row r="1" s="9" customFormat="1" ht="15" spans="1:48">
      <c r="A1" s="19" t="s">
        <v>89</v>
      </c>
      <c r="B1" s="19" t="s">
        <v>90</v>
      </c>
      <c r="C1" s="19" t="s">
        <v>91</v>
      </c>
      <c r="D1" s="19" t="s">
        <v>92</v>
      </c>
      <c r="E1" s="19" t="s">
        <v>93</v>
      </c>
      <c r="F1" s="19" t="s">
        <v>94</v>
      </c>
      <c r="G1" s="19" t="s">
        <v>95</v>
      </c>
      <c r="H1" s="19" t="s">
        <v>96</v>
      </c>
      <c r="I1" s="24"/>
      <c r="J1" s="24"/>
      <c r="K1" s="24"/>
      <c r="L1" s="24"/>
      <c r="M1" s="24"/>
      <c r="N1" s="24"/>
      <c r="O1" s="24"/>
      <c r="P1" s="24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ht="15" spans="1:42">
      <c r="A2" s="19" t="s">
        <v>97</v>
      </c>
      <c r="B2" s="19" t="s">
        <v>98</v>
      </c>
      <c r="C2" s="71" t="s">
        <v>99</v>
      </c>
      <c r="D2" s="20"/>
      <c r="E2" s="20">
        <v>2278891090</v>
      </c>
      <c r="F2" s="21" t="s">
        <v>100</v>
      </c>
      <c r="G2" s="19" t="s">
        <v>97</v>
      </c>
      <c r="H2" s="19" t="s">
        <v>97</v>
      </c>
      <c r="I2" s="25"/>
      <c r="J2" s="25"/>
      <c r="K2" s="26"/>
      <c r="L2" s="26"/>
      <c r="M2" s="26"/>
      <c r="N2" s="25"/>
      <c r="O2" s="25"/>
      <c r="P2" s="25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8">
      <c r="A3" s="22" t="s">
        <v>101</v>
      </c>
      <c r="C3" s="71" t="s">
        <v>99</v>
      </c>
      <c r="E3" s="18">
        <v>1601366781</v>
      </c>
      <c r="F3" s="23" t="s">
        <v>102</v>
      </c>
      <c r="G3" s="22" t="s">
        <v>101</v>
      </c>
      <c r="H3" s="22" t="s">
        <v>101</v>
      </c>
    </row>
  </sheetData>
  <hyperlinks>
    <hyperlink ref="F2" r:id="rId1" display="111111@qq.com" tooltip="mailto:111111@qq.com"/>
    <hyperlink ref="F3" r:id="rId2" display="222222@qq.com" tooltip="mailto:222222@qq.com"/>
  </hyperlink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C1" sqref="C1:C23"/>
    </sheetView>
  </sheetViews>
  <sheetFormatPr defaultColWidth="9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103</v>
      </c>
      <c r="B1" s="4" t="s">
        <v>104</v>
      </c>
      <c r="C1" s="5"/>
      <c r="D1" s="6"/>
    </row>
    <row r="2" ht="14.25" spans="1:4">
      <c r="A2" t="s">
        <v>105</v>
      </c>
      <c r="B2" s="7" t="s">
        <v>106</v>
      </c>
      <c r="C2" s="8"/>
      <c r="D2" s="9"/>
    </row>
    <row r="3" ht="14.25" spans="1:4">
      <c r="A3" t="s">
        <v>107</v>
      </c>
      <c r="B3" s="10" t="s">
        <v>108</v>
      </c>
      <c r="C3" s="5"/>
      <c r="D3" s="8"/>
    </row>
    <row r="4" spans="1:4">
      <c r="A4" t="s">
        <v>109</v>
      </c>
      <c r="B4" s="10" t="s">
        <v>110</v>
      </c>
      <c r="C4" s="5"/>
      <c r="D4" s="8"/>
    </row>
    <row r="5" spans="1:4">
      <c r="A5" t="s">
        <v>111</v>
      </c>
      <c r="B5" s="10" t="s">
        <v>112</v>
      </c>
      <c r="C5" s="11"/>
      <c r="D5" s="12"/>
    </row>
    <row r="6" spans="1:3">
      <c r="A6" t="s">
        <v>113</v>
      </c>
      <c r="B6" s="10" t="s">
        <v>114</v>
      </c>
      <c r="C6" s="11"/>
    </row>
    <row r="7" spans="1:3">
      <c r="A7" t="s">
        <v>115</v>
      </c>
      <c r="B7" s="10" t="s">
        <v>116</v>
      </c>
      <c r="C7" s="13"/>
    </row>
    <row r="8" spans="1:1">
      <c r="A8" t="s">
        <v>117</v>
      </c>
    </row>
    <row r="9" spans="1:2">
      <c r="A9" t="s">
        <v>118</v>
      </c>
      <c r="B9" s="14" t="s">
        <v>119</v>
      </c>
    </row>
    <row r="10" spans="1:3">
      <c r="A10" t="s">
        <v>120</v>
      </c>
      <c r="B10" s="15" t="s">
        <v>121</v>
      </c>
      <c r="C10" s="15"/>
    </row>
    <row r="11" spans="1:3">
      <c r="A11" t="s">
        <v>122</v>
      </c>
      <c r="B11" s="15" t="s">
        <v>123</v>
      </c>
      <c r="C11" s="15"/>
    </row>
    <row r="12" spans="1:1">
      <c r="A12" t="s">
        <v>124</v>
      </c>
    </row>
    <row r="13" spans="1:2">
      <c r="A13" t="s">
        <v>125</v>
      </c>
      <c r="B13" s="14" t="s">
        <v>126</v>
      </c>
    </row>
    <row r="14" spans="1:3">
      <c r="A14" t="s">
        <v>127</v>
      </c>
      <c r="B14" s="16" t="s">
        <v>128</v>
      </c>
      <c r="C14" s="17"/>
    </row>
    <row r="15" spans="1:3">
      <c r="A15" t="s">
        <v>129</v>
      </c>
      <c r="B15" s="16" t="s">
        <v>130</v>
      </c>
      <c r="C15" s="16"/>
    </row>
    <row r="16" spans="1:2">
      <c r="A16" t="s">
        <v>131</v>
      </c>
      <c r="B16" t="s">
        <v>132</v>
      </c>
    </row>
    <row r="17" spans="1:3">
      <c r="A17" t="s">
        <v>133</v>
      </c>
      <c r="B17" s="16" t="s">
        <v>134</v>
      </c>
      <c r="C17" s="16"/>
    </row>
    <row r="18" spans="1:3">
      <c r="A18" t="s">
        <v>135</v>
      </c>
      <c r="B18" s="16" t="s">
        <v>136</v>
      </c>
      <c r="C18" s="16"/>
    </row>
    <row r="19" spans="1:3">
      <c r="A19" t="s">
        <v>137</v>
      </c>
      <c r="B19" s="16" t="s">
        <v>138</v>
      </c>
      <c r="C19" s="16"/>
    </row>
    <row r="20" spans="1:2">
      <c r="A20" t="s">
        <v>139</v>
      </c>
      <c r="B20" t="s">
        <v>140</v>
      </c>
    </row>
    <row r="21" spans="1:1">
      <c r="A21" t="s">
        <v>141</v>
      </c>
    </row>
    <row r="22" spans="1:1">
      <c r="A22" t="s">
        <v>142</v>
      </c>
    </row>
    <row r="23" spans="1:1">
      <c r="A23" t="s">
        <v>143</v>
      </c>
    </row>
    <row r="24" spans="1:1">
      <c r="A24" t="s">
        <v>144</v>
      </c>
    </row>
    <row r="25" spans="1:1">
      <c r="A25" t="s">
        <v>145</v>
      </c>
    </row>
    <row r="26" spans="1:1">
      <c r="A26" t="s">
        <v>146</v>
      </c>
    </row>
    <row r="27" spans="1:1">
      <c r="A27" t="s">
        <v>147</v>
      </c>
    </row>
    <row r="28" spans="1:1">
      <c r="A28" t="s">
        <v>148</v>
      </c>
    </row>
    <row r="29" spans="1:1">
      <c r="A29" t="s">
        <v>149</v>
      </c>
    </row>
    <row r="30" spans="1:1">
      <c r="A30" t="s">
        <v>150</v>
      </c>
    </row>
  </sheetData>
  <conditionalFormatting sqref="B1">
    <cfRule type="containsText" dxfId="0" priority="4" operator="between" text=" ">
      <formula>NOT(ISERROR(SEARCH(" ",B1)))</formula>
    </cfRule>
    <cfRule type="containsText" dxfId="0" priority="5" operator="between" text=" ">
      <formula>NOT(ISERROR(SEARCH(" ",B1)))</formula>
    </cfRule>
    <cfRule type="containsText" dxfId="0" priority="6" operator="between" text=" ">
      <formula>NOT(ISERROR(SEARCH(" ",B1)))</formula>
    </cfRule>
  </conditionalFormatting>
  <conditionalFormatting sqref="C1">
    <cfRule type="containsText" dxfId="0" priority="8" operator="between" text=" ">
      <formula>NOT(ISERROR(SEARCH(" ",C1)))</formula>
    </cfRule>
  </conditionalFormatting>
  <conditionalFormatting sqref="D1">
    <cfRule type="containsText" dxfId="0" priority="7" operator="between" text=" ">
      <formula>NOT(ISERROR(SEARCH(" ",D1)))</formula>
    </cfRule>
  </conditionalFormatting>
  <conditionalFormatting sqref="B2">
    <cfRule type="containsText" dxfId="0" priority="1" operator="between" text=" ">
      <formula>NOT(ISERROR(SEARCH(" ",B2)))</formula>
    </cfRule>
  </conditionalFormatting>
  <dataValidations count="2">
    <dataValidation type="list" allowBlank="1" showInputMessage="1" showErrorMessage="1" sqref="B1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2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</dataValidations>
  <pageMargins left="0.699305555555556" right="0.699305555555556" top="0.75" bottom="0.75" header="0.3" footer="0.3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31"/>
  <sheetViews>
    <sheetView topLeftCell="A13" workbookViewId="0">
      <selection activeCell="D37" sqref="D37"/>
    </sheetView>
  </sheetViews>
  <sheetFormatPr defaultColWidth="9" defaultRowHeight="13.5"/>
  <cols>
    <col min="2" max="2" width="9" customWidth="1"/>
    <col min="3" max="3" width="29.875" customWidth="1"/>
    <col min="4" max="4" width="84" customWidth="1"/>
    <col min="5" max="5" width="3.125" customWidth="1"/>
  </cols>
  <sheetData>
    <row r="1" spans="1:8">
      <c r="A1" t="s">
        <v>151</v>
      </c>
      <c r="B1" t="s">
        <v>152</v>
      </c>
      <c r="C1" t="s">
        <v>153</v>
      </c>
      <c r="D1" t="s">
        <v>154</v>
      </c>
      <c r="F1" t="s">
        <v>155</v>
      </c>
      <c r="G1" t="s">
        <v>156</v>
      </c>
      <c r="H1" t="s">
        <v>157</v>
      </c>
    </row>
    <row r="2" spans="1:6">
      <c r="A2" t="s">
        <v>158</v>
      </c>
      <c r="B2" t="s">
        <v>159</v>
      </c>
      <c r="C2" t="s">
        <v>160</v>
      </c>
      <c r="D2" t="s">
        <v>161</v>
      </c>
      <c r="F2" t="s">
        <v>162</v>
      </c>
    </row>
    <row r="3" spans="1:6">
      <c r="A3" t="s">
        <v>158</v>
      </c>
      <c r="B3" t="s">
        <v>159</v>
      </c>
      <c r="C3" t="s">
        <v>163</v>
      </c>
      <c r="D3" t="s">
        <v>164</v>
      </c>
      <c r="F3" t="s">
        <v>165</v>
      </c>
    </row>
    <row r="4" spans="1:6">
      <c r="A4" t="s">
        <v>158</v>
      </c>
      <c r="B4" t="s">
        <v>159</v>
      </c>
      <c r="C4" t="s">
        <v>166</v>
      </c>
      <c r="D4" t="s">
        <v>167</v>
      </c>
      <c r="F4" t="s">
        <v>165</v>
      </c>
    </row>
    <row r="5" spans="1:6">
      <c r="A5" t="s">
        <v>158</v>
      </c>
      <c r="B5" t="s">
        <v>159</v>
      </c>
      <c r="C5" t="s">
        <v>168</v>
      </c>
      <c r="D5" t="s">
        <v>169</v>
      </c>
      <c r="F5" t="s">
        <v>162</v>
      </c>
    </row>
    <row r="6" spans="1:6">
      <c r="A6" t="s">
        <v>158</v>
      </c>
      <c r="B6" t="s">
        <v>159</v>
      </c>
      <c r="C6" t="s">
        <v>170</v>
      </c>
      <c r="D6" t="s">
        <v>171</v>
      </c>
      <c r="F6" t="s">
        <v>162</v>
      </c>
    </row>
    <row r="7" spans="1:6">
      <c r="A7" t="s">
        <v>158</v>
      </c>
      <c r="B7" t="s">
        <v>159</v>
      </c>
      <c r="C7" t="s">
        <v>172</v>
      </c>
      <c r="D7" t="s">
        <v>173</v>
      </c>
      <c r="F7" t="s">
        <v>174</v>
      </c>
    </row>
    <row r="8" spans="1:6">
      <c r="A8" t="s">
        <v>158</v>
      </c>
      <c r="B8" t="s">
        <v>159</v>
      </c>
      <c r="C8" t="s">
        <v>175</v>
      </c>
      <c r="D8" s="72" t="s">
        <v>176</v>
      </c>
      <c r="F8" t="s">
        <v>177</v>
      </c>
    </row>
    <row r="9" spans="1:6">
      <c r="A9" t="s">
        <v>158</v>
      </c>
      <c r="B9" t="s">
        <v>159</v>
      </c>
      <c r="C9" t="s">
        <v>178</v>
      </c>
      <c r="D9" t="s">
        <v>179</v>
      </c>
      <c r="F9" t="s">
        <v>180</v>
      </c>
    </row>
    <row r="10" spans="1:6">
      <c r="A10" t="s">
        <v>158</v>
      </c>
      <c r="B10" t="s">
        <v>159</v>
      </c>
      <c r="C10" t="s">
        <v>181</v>
      </c>
      <c r="D10" t="s">
        <v>182</v>
      </c>
      <c r="F10" t="s">
        <v>165</v>
      </c>
    </row>
    <row r="11" spans="1:6">
      <c r="A11" t="s">
        <v>158</v>
      </c>
      <c r="B11" t="s">
        <v>159</v>
      </c>
      <c r="C11" t="s">
        <v>183</v>
      </c>
      <c r="D11" t="s">
        <v>184</v>
      </c>
      <c r="F11" t="s">
        <v>185</v>
      </c>
    </row>
    <row r="12" spans="1:6">
      <c r="A12" t="s">
        <v>158</v>
      </c>
      <c r="B12" t="s">
        <v>159</v>
      </c>
      <c r="C12" t="s">
        <v>186</v>
      </c>
      <c r="D12" t="s">
        <v>187</v>
      </c>
      <c r="F12" t="s">
        <v>188</v>
      </c>
    </row>
    <row r="13" spans="1:6">
      <c r="A13" t="s">
        <v>158</v>
      </c>
      <c r="B13" t="s">
        <v>159</v>
      </c>
      <c r="C13" t="s">
        <v>189</v>
      </c>
      <c r="D13" t="s">
        <v>190</v>
      </c>
      <c r="F13" t="s">
        <v>162</v>
      </c>
    </row>
    <row r="14" spans="1:6">
      <c r="A14" t="s">
        <v>158</v>
      </c>
      <c r="B14" t="s">
        <v>159</v>
      </c>
      <c r="C14" t="s">
        <v>191</v>
      </c>
      <c r="D14" t="s">
        <v>192</v>
      </c>
      <c r="F14" t="s">
        <v>193</v>
      </c>
    </row>
    <row r="15" ht="27" spans="1:6">
      <c r="A15" t="s">
        <v>194</v>
      </c>
      <c r="B15" t="s">
        <v>65</v>
      </c>
      <c r="C15" t="s">
        <v>53</v>
      </c>
      <c r="D15" s="1" t="s">
        <v>195</v>
      </c>
      <c r="F15" t="s">
        <v>196</v>
      </c>
    </row>
    <row r="16" spans="1:6">
      <c r="A16" t="s">
        <v>194</v>
      </c>
      <c r="B16" t="s">
        <v>65</v>
      </c>
      <c r="C16" t="s">
        <v>28</v>
      </c>
      <c r="D16" t="s">
        <v>28</v>
      </c>
      <c r="F16" t="s">
        <v>197</v>
      </c>
    </row>
    <row r="17" spans="1:6">
      <c r="A17" t="s">
        <v>194</v>
      </c>
      <c r="B17" t="s">
        <v>65</v>
      </c>
      <c r="C17" t="s">
        <v>198</v>
      </c>
      <c r="D17" t="s">
        <v>199</v>
      </c>
      <c r="F17" t="s">
        <v>200</v>
      </c>
    </row>
    <row r="18" spans="1:6">
      <c r="A18" t="s">
        <v>201</v>
      </c>
      <c r="B18" t="s">
        <v>65</v>
      </c>
      <c r="C18" t="s">
        <v>202</v>
      </c>
      <c r="D18" t="s">
        <v>203</v>
      </c>
      <c r="F18" t="s">
        <v>204</v>
      </c>
    </row>
    <row r="19" spans="1:6">
      <c r="A19" t="s">
        <v>201</v>
      </c>
      <c r="B19" t="s">
        <v>65</v>
      </c>
      <c r="C19" t="s">
        <v>205</v>
      </c>
      <c r="D19" t="s">
        <v>206</v>
      </c>
      <c r="F19" t="s">
        <v>207</v>
      </c>
    </row>
    <row r="20" spans="1:6">
      <c r="A20" t="s">
        <v>201</v>
      </c>
      <c r="B20" t="s">
        <v>65</v>
      </c>
      <c r="C20" t="s">
        <v>208</v>
      </c>
      <c r="D20" t="s">
        <v>209</v>
      </c>
      <c r="F20" t="s">
        <v>207</v>
      </c>
    </row>
    <row r="21" spans="1:6">
      <c r="A21" t="s">
        <v>201</v>
      </c>
      <c r="B21" t="s">
        <v>65</v>
      </c>
      <c r="C21" t="s">
        <v>210</v>
      </c>
      <c r="D21" t="s">
        <v>211</v>
      </c>
      <c r="F21" t="s">
        <v>207</v>
      </c>
    </row>
    <row r="22" spans="1:6">
      <c r="A22" t="s">
        <v>201</v>
      </c>
      <c r="B22" t="s">
        <v>212</v>
      </c>
      <c r="C22" t="s">
        <v>213</v>
      </c>
      <c r="D22" t="s">
        <v>214</v>
      </c>
      <c r="F22" t="s">
        <v>215</v>
      </c>
    </row>
    <row r="23" spans="1:6">
      <c r="A23" t="s">
        <v>201</v>
      </c>
      <c r="B23" t="s">
        <v>212</v>
      </c>
      <c r="C23" t="s">
        <v>216</v>
      </c>
      <c r="D23" t="s">
        <v>217</v>
      </c>
      <c r="F23" t="s">
        <v>207</v>
      </c>
    </row>
    <row r="24" spans="1:6">
      <c r="A24" t="s">
        <v>201</v>
      </c>
      <c r="B24" t="s">
        <v>212</v>
      </c>
      <c r="C24" t="s">
        <v>218</v>
      </c>
      <c r="D24" t="s">
        <v>219</v>
      </c>
      <c r="F24" t="s">
        <v>215</v>
      </c>
    </row>
    <row r="25" spans="1:6">
      <c r="A25" t="s">
        <v>201</v>
      </c>
      <c r="B25" t="s">
        <v>65</v>
      </c>
      <c r="C25" t="s">
        <v>220</v>
      </c>
      <c r="D25" t="s">
        <v>221</v>
      </c>
      <c r="F25" t="s">
        <v>207</v>
      </c>
    </row>
    <row r="26" spans="1:6">
      <c r="A26" t="s">
        <v>201</v>
      </c>
      <c r="B26" t="s">
        <v>65</v>
      </c>
      <c r="C26" t="s">
        <v>222</v>
      </c>
      <c r="D26" t="s">
        <v>28</v>
      </c>
      <c r="F26" t="s">
        <v>215</v>
      </c>
    </row>
    <row r="27" spans="1:4">
      <c r="A27" t="s">
        <v>158</v>
      </c>
      <c r="B27" t="s">
        <v>223</v>
      </c>
      <c r="C27" t="s">
        <v>191</v>
      </c>
      <c r="D27" t="s">
        <v>192</v>
      </c>
    </row>
    <row r="28" spans="1:9">
      <c r="A28" t="s">
        <v>158</v>
      </c>
      <c r="B28" t="s">
        <v>223</v>
      </c>
      <c r="C28" t="s">
        <v>224</v>
      </c>
      <c r="D28" t="s">
        <v>225</v>
      </c>
      <c r="F28" s="2" t="s">
        <v>226</v>
      </c>
      <c r="I28" t="s">
        <v>226</v>
      </c>
    </row>
    <row r="29" spans="1:6">
      <c r="A29" t="s">
        <v>158</v>
      </c>
      <c r="B29" t="s">
        <v>223</v>
      </c>
      <c r="C29" t="s">
        <v>227</v>
      </c>
      <c r="D29" t="s">
        <v>228</v>
      </c>
      <c r="F29" s="2" t="s">
        <v>229</v>
      </c>
    </row>
    <row r="30" spans="1:6">
      <c r="A30" t="s">
        <v>158</v>
      </c>
      <c r="B30" t="s">
        <v>223</v>
      </c>
      <c r="C30" t="s">
        <v>230</v>
      </c>
      <c r="D30" t="s">
        <v>231</v>
      </c>
      <c r="F30" s="2" t="s">
        <v>229</v>
      </c>
    </row>
    <row r="31" ht="40.5" spans="1:6">
      <c r="A31" s="2" t="s">
        <v>201</v>
      </c>
      <c r="B31" s="2" t="s">
        <v>232</v>
      </c>
      <c r="C31" s="2" t="s">
        <v>0</v>
      </c>
      <c r="D31" s="3" t="s">
        <v>233</v>
      </c>
      <c r="F31" s="2" t="s">
        <v>234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单脚本</vt:lpstr>
      <vt:lpstr>多脚本</vt:lpstr>
      <vt:lpstr>通讯录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2021-09-24T13:00:46Z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