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文件\"/>
    </mc:Choice>
  </mc:AlternateContent>
  <bookViews>
    <workbookView xWindow="1230" yWindow="0" windowWidth="22785" windowHeight="10365" activeTab="1"/>
  </bookViews>
  <sheets>
    <sheet name="单脚本" sheetId="13" r:id="rId1"/>
    <sheet name="多脚本" sheetId="15" r:id="rId2"/>
    <sheet name="通讯录" sheetId="12" r:id="rId3"/>
    <sheet name="密码区" sheetId="11" r:id="rId4"/>
    <sheet name="常用代码" sheetId="14" r:id="rId5"/>
  </sheets>
  <functionGroups builtInGroupCount="18"/>
  <externalReferences>
    <externalReference r:id="rId6"/>
  </externalReferences>
  <definedNames>
    <definedName name="_xlnm._FilterDatabase" localSheetId="0" hidden="1">单脚本!$A$19:$O$41</definedName>
    <definedName name="ExternalData_1" localSheetId="2">通讯录!$A$1:$P$2</definedName>
    <definedName name="ExternalData_1_1" localSheetId="2">通讯录!$A$1:$G$2</definedName>
    <definedName name="ExternalData_1_2" localSheetId="2">通讯录!$A$1:$G$2</definedName>
    <definedName name="ExternalData_1000" localSheetId="2">通讯录!$A$1:$H$1</definedName>
    <definedName name="ExternalData_1001" localSheetId="2">通讯录!$A$1:$H$1</definedName>
    <definedName name="ExternalData_1002" localSheetId="2">通讯录!$A$1:$G$1</definedName>
    <definedName name="ExternalData_1003" localSheetId="2">通讯录!#REF!</definedName>
    <definedName name="ExternalData_1004" localSheetId="2">通讯录!$A$1:$F$1</definedName>
    <definedName name="ExternalData_1005" localSheetId="2">通讯录!$A$1:$H$1</definedName>
    <definedName name="ExternalData_1006" localSheetId="2">通讯录!$A$1:$H$1</definedName>
    <definedName name="ExternalData_1007" localSheetId="2">通讯录!$A$1:$F$1</definedName>
    <definedName name="ExternalData_1008" localSheetId="2">通讯录!#REF!</definedName>
    <definedName name="ExternalData_1009" localSheetId="2">通讯录!$A$1:$H$1</definedName>
    <definedName name="ExternalData_1010" localSheetId="2">通讯录!$A$1:$H$1</definedName>
    <definedName name="ExternalData_1011" localSheetId="2">通讯录!$A$1:$H$1</definedName>
    <definedName name="ExternalData_1012" localSheetId="2">通讯录!$A$1:$AP$2</definedName>
    <definedName name="ExternalData_1013" localSheetId="2">通讯录!$A$1:$AP$2</definedName>
    <definedName name="ExternalData_1014" localSheetId="2">通讯录!$A$1:$G$2</definedName>
    <definedName name="ExternalData_1015" localSheetId="2">通讯录!$A$1:$AP$2</definedName>
    <definedName name="ExternalData_1016" localSheetId="2">通讯录!$A$1:$H$2</definedName>
    <definedName name="ExternalData_1017" localSheetId="2">通讯录!$A$1:$H$2</definedName>
    <definedName name="ExternalData_1018" localSheetId="2">通讯录!$A$1:$H$2</definedName>
    <definedName name="ExternalData_1019" localSheetId="2">通讯录!$A$1:$H$2</definedName>
    <definedName name="ExternalData_1020" localSheetId="2">通讯录!$A$1:$H$2</definedName>
    <definedName name="ExternalData_1021" localSheetId="2">通讯录!#REF!</definedName>
    <definedName name="ExternalData_1022" localSheetId="2">通讯录!$A$1:$G$2</definedName>
    <definedName name="ExternalData_1023" localSheetId="2">通讯录!$A$1:$N$2</definedName>
    <definedName name="ExternalData_989" localSheetId="2">通讯录!$A$1:$H$1</definedName>
    <definedName name="ExternalData_990" localSheetId="2">通讯录!$A$1:$H$1</definedName>
    <definedName name="ExternalData_991" localSheetId="2">通讯录!$A$1:$H$1</definedName>
    <definedName name="ExternalData_992" localSheetId="2">通讯录!$A$1:$A$1</definedName>
    <definedName name="ExternalData_993" localSheetId="2">通讯录!#REF!</definedName>
    <definedName name="ExternalData_994" localSheetId="2">通讯录!$A$1:$H$1</definedName>
    <definedName name="ExternalData_995" localSheetId="2">通讯录!$A$1:$H$1</definedName>
    <definedName name="ExternalData_996" localSheetId="2">通讯录!$A$1:$H$1</definedName>
    <definedName name="ExternalData_997" localSheetId="2">通讯录!$A$1:$H$1</definedName>
    <definedName name="ExternalData_998" localSheetId="2">通讯录!$A$1:$H$1</definedName>
    <definedName name="ExternalData_999" localSheetId="2">通讯录!$A$1:$H$1</definedName>
  </definedNames>
  <calcPr calcId="152511"/>
</workbook>
</file>

<file path=xl/calcChain.xml><?xml version="1.0" encoding="utf-8"?>
<calcChain xmlns="http://schemas.openxmlformats.org/spreadsheetml/2006/main">
  <c r="B23" i="15" l="1"/>
  <c r="B22" i="15"/>
  <c r="B21" i="15"/>
  <c r="B3" i="15"/>
  <c r="A2" i="15"/>
  <c r="B1" i="15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G334" i="13"/>
  <c r="F334" i="13"/>
  <c r="E334" i="13"/>
  <c r="D334" i="13"/>
  <c r="C334" i="13"/>
  <c r="B334" i="13"/>
  <c r="L333" i="13"/>
  <c r="G333" i="13"/>
  <c r="F333" i="13"/>
  <c r="E333" i="13"/>
  <c r="D333" i="13"/>
  <c r="C333" i="13"/>
  <c r="B333" i="13"/>
  <c r="L332" i="13"/>
  <c r="G332" i="13"/>
  <c r="F332" i="13"/>
  <c r="E332" i="13"/>
  <c r="D332" i="13"/>
  <c r="C332" i="13"/>
  <c r="B332" i="13"/>
  <c r="L331" i="13"/>
  <c r="G331" i="13"/>
  <c r="F331" i="13"/>
  <c r="E331" i="13"/>
  <c r="D331" i="13"/>
  <c r="C331" i="13"/>
  <c r="B331" i="13"/>
  <c r="L330" i="13"/>
  <c r="G330" i="13"/>
  <c r="F330" i="13"/>
  <c r="E330" i="13"/>
  <c r="D330" i="13"/>
  <c r="C330" i="13"/>
  <c r="B330" i="13"/>
  <c r="L329" i="13"/>
  <c r="G329" i="13"/>
  <c r="F329" i="13"/>
  <c r="E329" i="13"/>
  <c r="D329" i="13"/>
  <c r="C329" i="13"/>
  <c r="B329" i="13"/>
  <c r="L328" i="13"/>
  <c r="G328" i="13"/>
  <c r="F328" i="13"/>
  <c r="E328" i="13"/>
  <c r="D328" i="13"/>
  <c r="C328" i="13"/>
  <c r="B328" i="13"/>
  <c r="L327" i="13"/>
  <c r="G327" i="13"/>
  <c r="F327" i="13"/>
  <c r="E327" i="13"/>
  <c r="D327" i="13"/>
  <c r="C327" i="13"/>
  <c r="B327" i="13"/>
  <c r="L326" i="13"/>
  <c r="G326" i="13"/>
  <c r="F326" i="13"/>
  <c r="E326" i="13"/>
  <c r="D326" i="13"/>
  <c r="C326" i="13"/>
  <c r="B326" i="13"/>
  <c r="L325" i="13"/>
  <c r="G325" i="13"/>
  <c r="F325" i="13"/>
  <c r="E325" i="13"/>
  <c r="D325" i="13"/>
  <c r="C325" i="13"/>
  <c r="B325" i="13"/>
  <c r="L324" i="13"/>
  <c r="G324" i="13"/>
  <c r="F324" i="13"/>
  <c r="E324" i="13"/>
  <c r="D324" i="13"/>
  <c r="C324" i="13"/>
  <c r="B324" i="13"/>
  <c r="L323" i="13"/>
  <c r="G323" i="13"/>
  <c r="F323" i="13"/>
  <c r="E323" i="13"/>
  <c r="D323" i="13"/>
  <c r="C323" i="13"/>
  <c r="B323" i="13"/>
  <c r="L322" i="13"/>
  <c r="G322" i="13"/>
  <c r="F322" i="13"/>
  <c r="E322" i="13"/>
  <c r="D322" i="13"/>
  <c r="C322" i="13"/>
  <c r="B322" i="13"/>
  <c r="L321" i="13"/>
  <c r="G321" i="13"/>
  <c r="F321" i="13"/>
  <c r="E321" i="13"/>
  <c r="D321" i="13"/>
  <c r="C321" i="13"/>
  <c r="B321" i="13"/>
  <c r="L320" i="13"/>
  <c r="G320" i="13"/>
  <c r="F320" i="13"/>
  <c r="E320" i="13"/>
  <c r="D320" i="13"/>
  <c r="C320" i="13"/>
  <c r="B320" i="13"/>
  <c r="L319" i="13"/>
  <c r="G319" i="13"/>
  <c r="F319" i="13"/>
  <c r="E319" i="13"/>
  <c r="D319" i="13"/>
  <c r="C319" i="13"/>
  <c r="B319" i="13"/>
  <c r="L318" i="13"/>
  <c r="G318" i="13"/>
  <c r="F318" i="13"/>
  <c r="E318" i="13"/>
  <c r="D318" i="13"/>
  <c r="C318" i="13"/>
  <c r="B318" i="13"/>
  <c r="L317" i="13"/>
  <c r="G317" i="13"/>
  <c r="F317" i="13"/>
  <c r="E317" i="13"/>
  <c r="D317" i="13"/>
  <c r="C317" i="13"/>
  <c r="B317" i="13"/>
  <c r="L316" i="13"/>
  <c r="G316" i="13"/>
  <c r="F316" i="13"/>
  <c r="E316" i="13"/>
  <c r="D316" i="13"/>
  <c r="C316" i="13"/>
  <c r="B316" i="13"/>
  <c r="L315" i="13"/>
  <c r="G315" i="13"/>
  <c r="F315" i="13"/>
  <c r="E315" i="13"/>
  <c r="D315" i="13"/>
  <c r="C315" i="13"/>
  <c r="B315" i="13"/>
  <c r="L314" i="13"/>
  <c r="G314" i="13"/>
  <c r="F314" i="13"/>
  <c r="E314" i="13"/>
  <c r="D314" i="13"/>
  <c r="C314" i="13"/>
  <c r="B314" i="13"/>
  <c r="L313" i="13"/>
  <c r="G313" i="13"/>
  <c r="F313" i="13"/>
  <c r="E313" i="13"/>
  <c r="D313" i="13"/>
  <c r="C313" i="13"/>
  <c r="B313" i="13"/>
  <c r="L312" i="13"/>
  <c r="G312" i="13"/>
  <c r="F312" i="13"/>
  <c r="E312" i="13"/>
  <c r="D312" i="13"/>
  <c r="C312" i="13"/>
  <c r="B312" i="13"/>
  <c r="L311" i="13"/>
  <c r="G311" i="13"/>
  <c r="F311" i="13"/>
  <c r="E311" i="13"/>
  <c r="D311" i="13"/>
  <c r="C311" i="13"/>
  <c r="B311" i="13"/>
  <c r="L310" i="13"/>
  <c r="G310" i="13"/>
  <c r="F310" i="13"/>
  <c r="E310" i="13"/>
  <c r="D310" i="13"/>
  <c r="C310" i="13"/>
  <c r="B310" i="13"/>
  <c r="L309" i="13"/>
  <c r="G309" i="13"/>
  <c r="F309" i="13"/>
  <c r="E309" i="13"/>
  <c r="D309" i="13"/>
  <c r="C309" i="13"/>
  <c r="B309" i="13"/>
  <c r="L308" i="13"/>
  <c r="G308" i="13"/>
  <c r="F308" i="13"/>
  <c r="E308" i="13"/>
  <c r="D308" i="13"/>
  <c r="C308" i="13"/>
  <c r="B308" i="13"/>
  <c r="L307" i="13"/>
  <c r="G307" i="13"/>
  <c r="F307" i="13"/>
  <c r="E307" i="13"/>
  <c r="D307" i="13"/>
  <c r="C307" i="13"/>
  <c r="B307" i="13"/>
  <c r="L306" i="13"/>
  <c r="G306" i="13"/>
  <c r="F306" i="13"/>
  <c r="E306" i="13"/>
  <c r="D306" i="13"/>
  <c r="C306" i="13"/>
  <c r="B306" i="13"/>
  <c r="L305" i="13"/>
  <c r="G305" i="13"/>
  <c r="F305" i="13"/>
  <c r="E305" i="13"/>
  <c r="D305" i="13"/>
  <c r="C305" i="13"/>
  <c r="B305" i="13"/>
  <c r="L304" i="13"/>
  <c r="G304" i="13"/>
  <c r="F304" i="13"/>
  <c r="E304" i="13"/>
  <c r="D304" i="13"/>
  <c r="C304" i="13"/>
  <c r="B304" i="13"/>
  <c r="L303" i="13"/>
  <c r="G303" i="13"/>
  <c r="F303" i="13"/>
  <c r="E303" i="13"/>
  <c r="D303" i="13"/>
  <c r="C303" i="13"/>
  <c r="B303" i="13"/>
  <c r="L302" i="13"/>
  <c r="G302" i="13"/>
  <c r="F302" i="13"/>
  <c r="E302" i="13"/>
  <c r="D302" i="13"/>
  <c r="C302" i="13"/>
  <c r="B302" i="13"/>
  <c r="L301" i="13"/>
  <c r="G301" i="13"/>
  <c r="F301" i="13"/>
  <c r="E301" i="13"/>
  <c r="D301" i="13"/>
  <c r="C301" i="13"/>
  <c r="B301" i="13"/>
  <c r="L300" i="13"/>
  <c r="G300" i="13"/>
  <c r="F300" i="13"/>
  <c r="E300" i="13"/>
  <c r="D300" i="13"/>
  <c r="C300" i="13"/>
  <c r="B300" i="13"/>
  <c r="L299" i="13"/>
  <c r="G299" i="13"/>
  <c r="F299" i="13"/>
  <c r="E299" i="13"/>
  <c r="D299" i="13"/>
  <c r="C299" i="13"/>
  <c r="B299" i="13"/>
  <c r="L298" i="13"/>
  <c r="G298" i="13"/>
  <c r="F298" i="13"/>
  <c r="E298" i="13"/>
  <c r="D298" i="13"/>
  <c r="C298" i="13"/>
  <c r="B298" i="13"/>
  <c r="L297" i="13"/>
  <c r="G297" i="13"/>
  <c r="F297" i="13"/>
  <c r="E297" i="13"/>
  <c r="D297" i="13"/>
  <c r="C297" i="13"/>
  <c r="B297" i="13"/>
  <c r="L296" i="13"/>
  <c r="G296" i="13"/>
  <c r="F296" i="13"/>
  <c r="E296" i="13"/>
  <c r="D296" i="13"/>
  <c r="C296" i="13"/>
  <c r="B296" i="13"/>
  <c r="L295" i="13"/>
  <c r="G295" i="13"/>
  <c r="F295" i="13"/>
  <c r="E295" i="13"/>
  <c r="D295" i="13"/>
  <c r="C295" i="13"/>
  <c r="B295" i="13"/>
  <c r="L294" i="13"/>
  <c r="G294" i="13"/>
  <c r="F294" i="13"/>
  <c r="E294" i="13"/>
  <c r="D294" i="13"/>
  <c r="C294" i="13"/>
  <c r="B294" i="13"/>
  <c r="L293" i="13"/>
  <c r="G293" i="13"/>
  <c r="F293" i="13"/>
  <c r="E293" i="13"/>
  <c r="D293" i="13"/>
  <c r="C293" i="13"/>
  <c r="B293" i="13"/>
  <c r="L292" i="13"/>
  <c r="G292" i="13"/>
  <c r="F292" i="13"/>
  <c r="E292" i="13"/>
  <c r="D292" i="13"/>
  <c r="C292" i="13"/>
  <c r="B292" i="13"/>
  <c r="L291" i="13"/>
  <c r="G291" i="13"/>
  <c r="F291" i="13"/>
  <c r="E291" i="13"/>
  <c r="D291" i="13"/>
  <c r="C291" i="13"/>
  <c r="B291" i="13"/>
  <c r="L290" i="13"/>
  <c r="G290" i="13"/>
  <c r="F290" i="13"/>
  <c r="E290" i="13"/>
  <c r="D290" i="13"/>
  <c r="C290" i="13"/>
  <c r="B290" i="13"/>
  <c r="L289" i="13"/>
  <c r="G289" i="13"/>
  <c r="F289" i="13"/>
  <c r="E289" i="13"/>
  <c r="D289" i="13"/>
  <c r="C289" i="13"/>
  <c r="B289" i="13"/>
  <c r="L288" i="13"/>
  <c r="G288" i="13"/>
  <c r="F288" i="13"/>
  <c r="E288" i="13"/>
  <c r="D288" i="13"/>
  <c r="C288" i="13"/>
  <c r="B288" i="13"/>
  <c r="L287" i="13"/>
  <c r="G287" i="13"/>
  <c r="F287" i="13"/>
  <c r="E287" i="13"/>
  <c r="D287" i="13"/>
  <c r="C287" i="13"/>
  <c r="B287" i="13"/>
  <c r="L286" i="13"/>
  <c r="G286" i="13"/>
  <c r="F286" i="13"/>
  <c r="E286" i="13"/>
  <c r="D286" i="13"/>
  <c r="C286" i="13"/>
  <c r="B286" i="13"/>
  <c r="L285" i="13"/>
  <c r="G285" i="13"/>
  <c r="F285" i="13"/>
  <c r="E285" i="13"/>
  <c r="D285" i="13"/>
  <c r="C285" i="13"/>
  <c r="B285" i="13"/>
  <c r="L284" i="13"/>
  <c r="G284" i="13"/>
  <c r="F284" i="13"/>
  <c r="E284" i="13"/>
  <c r="D284" i="13"/>
  <c r="C284" i="13"/>
  <c r="B284" i="13"/>
  <c r="L283" i="13"/>
  <c r="G283" i="13"/>
  <c r="F283" i="13"/>
  <c r="E283" i="13"/>
  <c r="D283" i="13"/>
  <c r="C283" i="13"/>
  <c r="B283" i="13"/>
  <c r="L282" i="13"/>
  <c r="G282" i="13"/>
  <c r="F282" i="13"/>
  <c r="E282" i="13"/>
  <c r="D282" i="13"/>
  <c r="C282" i="13"/>
  <c r="B282" i="13"/>
  <c r="L281" i="13"/>
  <c r="G281" i="13"/>
  <c r="F281" i="13"/>
  <c r="E281" i="13"/>
  <c r="D281" i="13"/>
  <c r="C281" i="13"/>
  <c r="B281" i="13"/>
  <c r="L280" i="13"/>
  <c r="G280" i="13"/>
  <c r="F280" i="13"/>
  <c r="E280" i="13"/>
  <c r="D280" i="13"/>
  <c r="C280" i="13"/>
  <c r="B280" i="13"/>
  <c r="L279" i="13"/>
  <c r="G279" i="13"/>
  <c r="F279" i="13"/>
  <c r="E279" i="13"/>
  <c r="D279" i="13"/>
  <c r="C279" i="13"/>
  <c r="B279" i="13"/>
  <c r="L278" i="13"/>
  <c r="G278" i="13"/>
  <c r="F278" i="13"/>
  <c r="E278" i="13"/>
  <c r="D278" i="13"/>
  <c r="C278" i="13"/>
  <c r="B278" i="13"/>
  <c r="L277" i="13"/>
  <c r="G277" i="13"/>
  <c r="F277" i="13"/>
  <c r="E277" i="13"/>
  <c r="D277" i="13"/>
  <c r="C277" i="13"/>
  <c r="B277" i="13"/>
  <c r="L276" i="13"/>
  <c r="G276" i="13"/>
  <c r="F276" i="13"/>
  <c r="E276" i="13"/>
  <c r="D276" i="13"/>
  <c r="C276" i="13"/>
  <c r="B276" i="13"/>
  <c r="L275" i="13"/>
  <c r="G275" i="13"/>
  <c r="F275" i="13"/>
  <c r="E275" i="13"/>
  <c r="D275" i="13"/>
  <c r="C275" i="13"/>
  <c r="B275" i="13"/>
  <c r="L274" i="13"/>
  <c r="G274" i="13"/>
  <c r="F274" i="13"/>
  <c r="E274" i="13"/>
  <c r="D274" i="13"/>
  <c r="C274" i="13"/>
  <c r="B274" i="13"/>
  <c r="L273" i="13"/>
  <c r="G273" i="13"/>
  <c r="F273" i="13"/>
  <c r="E273" i="13"/>
  <c r="D273" i="13"/>
  <c r="C273" i="13"/>
  <c r="B273" i="13"/>
  <c r="L272" i="13"/>
  <c r="G272" i="13"/>
  <c r="F272" i="13"/>
  <c r="E272" i="13"/>
  <c r="D272" i="13"/>
  <c r="C272" i="13"/>
  <c r="B272" i="13"/>
  <c r="L271" i="13"/>
  <c r="G271" i="13"/>
  <c r="F271" i="13"/>
  <c r="E271" i="13"/>
  <c r="D271" i="13"/>
  <c r="C271" i="13"/>
  <c r="B271" i="13"/>
  <c r="L270" i="13"/>
  <c r="G270" i="13"/>
  <c r="F270" i="13"/>
  <c r="E270" i="13"/>
  <c r="D270" i="13"/>
  <c r="C270" i="13"/>
  <c r="B270" i="13"/>
  <c r="L269" i="13"/>
  <c r="G269" i="13"/>
  <c r="F269" i="13"/>
  <c r="E269" i="13"/>
  <c r="D269" i="13"/>
  <c r="C269" i="13"/>
  <c r="B269" i="13"/>
  <c r="L268" i="13"/>
  <c r="G268" i="13"/>
  <c r="F268" i="13"/>
  <c r="E268" i="13"/>
  <c r="D268" i="13"/>
  <c r="C268" i="13"/>
  <c r="B268" i="13"/>
  <c r="L267" i="13"/>
  <c r="G267" i="13"/>
  <c r="F267" i="13"/>
  <c r="E267" i="13"/>
  <c r="D267" i="13"/>
  <c r="C267" i="13"/>
  <c r="B267" i="13"/>
  <c r="L266" i="13"/>
  <c r="G266" i="13"/>
  <c r="F266" i="13"/>
  <c r="E266" i="13"/>
  <c r="D266" i="13"/>
  <c r="C266" i="13"/>
  <c r="B266" i="13"/>
  <c r="L265" i="13"/>
  <c r="G265" i="13"/>
  <c r="F265" i="13"/>
  <c r="E265" i="13"/>
  <c r="D265" i="13"/>
  <c r="C265" i="13"/>
  <c r="B265" i="13"/>
  <c r="L264" i="13"/>
  <c r="G264" i="13"/>
  <c r="F264" i="13"/>
  <c r="E264" i="13"/>
  <c r="D264" i="13"/>
  <c r="C264" i="13"/>
  <c r="B264" i="13"/>
  <c r="L263" i="13"/>
  <c r="G263" i="13"/>
  <c r="F263" i="13"/>
  <c r="E263" i="13"/>
  <c r="D263" i="13"/>
  <c r="C263" i="13"/>
  <c r="B263" i="13"/>
  <c r="L262" i="13"/>
  <c r="G262" i="13"/>
  <c r="F262" i="13"/>
  <c r="E262" i="13"/>
  <c r="D262" i="13"/>
  <c r="C262" i="13"/>
  <c r="B262" i="13"/>
  <c r="L261" i="13"/>
  <c r="G261" i="13"/>
  <c r="F261" i="13"/>
  <c r="E261" i="13"/>
  <c r="D261" i="13"/>
  <c r="C261" i="13"/>
  <c r="B261" i="13"/>
  <c r="L260" i="13"/>
  <c r="G260" i="13"/>
  <c r="F260" i="13"/>
  <c r="E260" i="13"/>
  <c r="D260" i="13"/>
  <c r="C260" i="13"/>
  <c r="B260" i="13"/>
  <c r="L259" i="13"/>
  <c r="G259" i="13"/>
  <c r="F259" i="13"/>
  <c r="E259" i="13"/>
  <c r="D259" i="13"/>
  <c r="C259" i="13"/>
  <c r="B259" i="13"/>
  <c r="L258" i="13"/>
  <c r="G258" i="13"/>
  <c r="F258" i="13"/>
  <c r="E258" i="13"/>
  <c r="D258" i="13"/>
  <c r="C258" i="13"/>
  <c r="B258" i="13"/>
  <c r="L257" i="13"/>
  <c r="G257" i="13"/>
  <c r="F257" i="13"/>
  <c r="E257" i="13"/>
  <c r="D257" i="13"/>
  <c r="C257" i="13"/>
  <c r="B257" i="13"/>
  <c r="L256" i="13"/>
  <c r="G256" i="13"/>
  <c r="F256" i="13"/>
  <c r="E256" i="13"/>
  <c r="D256" i="13"/>
  <c r="C256" i="13"/>
  <c r="B256" i="13"/>
  <c r="L255" i="13"/>
  <c r="G255" i="13"/>
  <c r="F255" i="13"/>
  <c r="E255" i="13"/>
  <c r="D255" i="13"/>
  <c r="C255" i="13"/>
  <c r="B255" i="13"/>
  <c r="L254" i="13"/>
  <c r="G254" i="13"/>
  <c r="F254" i="13"/>
  <c r="E254" i="13"/>
  <c r="D254" i="13"/>
  <c r="C254" i="13"/>
  <c r="B254" i="13"/>
  <c r="L253" i="13"/>
  <c r="G253" i="13"/>
  <c r="F253" i="13"/>
  <c r="E253" i="13"/>
  <c r="D253" i="13"/>
  <c r="C253" i="13"/>
  <c r="B253" i="13"/>
  <c r="L252" i="13"/>
  <c r="G252" i="13"/>
  <c r="F252" i="13"/>
  <c r="E252" i="13"/>
  <c r="D252" i="13"/>
  <c r="C252" i="13"/>
  <c r="B252" i="13"/>
  <c r="L251" i="13"/>
  <c r="G251" i="13"/>
  <c r="F251" i="13"/>
  <c r="E251" i="13"/>
  <c r="D251" i="13"/>
  <c r="C251" i="13"/>
  <c r="B251" i="13"/>
  <c r="L250" i="13"/>
  <c r="G250" i="13"/>
  <c r="F250" i="13"/>
  <c r="E250" i="13"/>
  <c r="D250" i="13"/>
  <c r="C250" i="13"/>
  <c r="B250" i="13"/>
  <c r="L249" i="13"/>
  <c r="G249" i="13"/>
  <c r="F249" i="13"/>
  <c r="E249" i="13"/>
  <c r="D249" i="13"/>
  <c r="C249" i="13"/>
  <c r="B249" i="13"/>
  <c r="L248" i="13"/>
  <c r="G248" i="13"/>
  <c r="F248" i="13"/>
  <c r="E248" i="13"/>
  <c r="D248" i="13"/>
  <c r="C248" i="13"/>
  <c r="B248" i="13"/>
  <c r="L247" i="13"/>
  <c r="G247" i="13"/>
  <c r="F247" i="13"/>
  <c r="E247" i="13"/>
  <c r="D247" i="13"/>
  <c r="C247" i="13"/>
  <c r="B247" i="13"/>
  <c r="L246" i="13"/>
  <c r="G246" i="13"/>
  <c r="F246" i="13"/>
  <c r="E246" i="13"/>
  <c r="D246" i="13"/>
  <c r="C246" i="13"/>
  <c r="B246" i="13"/>
  <c r="L245" i="13"/>
  <c r="G245" i="13"/>
  <c r="F245" i="13"/>
  <c r="E245" i="13"/>
  <c r="D245" i="13"/>
  <c r="C245" i="13"/>
  <c r="B245" i="13"/>
  <c r="L244" i="13"/>
  <c r="G244" i="13"/>
  <c r="F244" i="13"/>
  <c r="E244" i="13"/>
  <c r="D244" i="13"/>
  <c r="C244" i="13"/>
  <c r="B244" i="13"/>
  <c r="L243" i="13"/>
  <c r="G243" i="13"/>
  <c r="F243" i="13"/>
  <c r="E243" i="13"/>
  <c r="D243" i="13"/>
  <c r="C243" i="13"/>
  <c r="B243" i="13"/>
  <c r="L242" i="13"/>
  <c r="G242" i="13"/>
  <c r="F242" i="13"/>
  <c r="E242" i="13"/>
  <c r="D242" i="13"/>
  <c r="C242" i="13"/>
  <c r="B242" i="13"/>
  <c r="L241" i="13"/>
  <c r="G241" i="13"/>
  <c r="F241" i="13"/>
  <c r="E241" i="13"/>
  <c r="D241" i="13"/>
  <c r="C241" i="13"/>
  <c r="B241" i="13"/>
  <c r="L240" i="13"/>
  <c r="G240" i="13"/>
  <c r="F240" i="13"/>
  <c r="E240" i="13"/>
  <c r="D240" i="13"/>
  <c r="C240" i="13"/>
  <c r="B240" i="13"/>
  <c r="L239" i="13"/>
  <c r="G239" i="13"/>
  <c r="F239" i="13"/>
  <c r="E239" i="13"/>
  <c r="D239" i="13"/>
  <c r="C239" i="13"/>
  <c r="B239" i="13"/>
  <c r="L238" i="13"/>
  <c r="G238" i="13"/>
  <c r="F238" i="13"/>
  <c r="E238" i="13"/>
  <c r="D238" i="13"/>
  <c r="C238" i="13"/>
  <c r="B238" i="13"/>
  <c r="L237" i="13"/>
  <c r="G237" i="13"/>
  <c r="F237" i="13"/>
  <c r="E237" i="13"/>
  <c r="D237" i="13"/>
  <c r="C237" i="13"/>
  <c r="B237" i="13"/>
  <c r="L236" i="13"/>
  <c r="G236" i="13"/>
  <c r="F236" i="13"/>
  <c r="E236" i="13"/>
  <c r="D236" i="13"/>
  <c r="C236" i="13"/>
  <c r="B236" i="13"/>
  <c r="L235" i="13"/>
  <c r="G235" i="13"/>
  <c r="F235" i="13"/>
  <c r="E235" i="13"/>
  <c r="D235" i="13"/>
  <c r="C235" i="13"/>
  <c r="B235" i="13"/>
  <c r="L234" i="13"/>
  <c r="G234" i="13"/>
  <c r="F234" i="13"/>
  <c r="E234" i="13"/>
  <c r="D234" i="13"/>
  <c r="C234" i="13"/>
  <c r="B234" i="13"/>
  <c r="L233" i="13"/>
  <c r="G233" i="13"/>
  <c r="F233" i="13"/>
  <c r="E233" i="13"/>
  <c r="D233" i="13"/>
  <c r="C233" i="13"/>
  <c r="B233" i="13"/>
  <c r="L232" i="13"/>
  <c r="G232" i="13"/>
  <c r="F232" i="13"/>
  <c r="E232" i="13"/>
  <c r="D232" i="13"/>
  <c r="C232" i="13"/>
  <c r="B232" i="13"/>
  <c r="L231" i="13"/>
  <c r="G231" i="13"/>
  <c r="F231" i="13"/>
  <c r="E231" i="13"/>
  <c r="D231" i="13"/>
  <c r="C231" i="13"/>
  <c r="B231" i="13"/>
  <c r="L230" i="13"/>
  <c r="G230" i="13"/>
  <c r="F230" i="13"/>
  <c r="E230" i="13"/>
  <c r="D230" i="13"/>
  <c r="C230" i="13"/>
  <c r="B230" i="13"/>
  <c r="L229" i="13"/>
  <c r="G229" i="13"/>
  <c r="F229" i="13"/>
  <c r="E229" i="13"/>
  <c r="D229" i="13"/>
  <c r="C229" i="13"/>
  <c r="B229" i="13"/>
  <c r="L228" i="13"/>
  <c r="G228" i="13"/>
  <c r="F228" i="13"/>
  <c r="E228" i="13"/>
  <c r="D228" i="13"/>
  <c r="C228" i="13"/>
  <c r="B228" i="13"/>
  <c r="L227" i="13"/>
  <c r="G227" i="13"/>
  <c r="F227" i="13"/>
  <c r="E227" i="13"/>
  <c r="D227" i="13"/>
  <c r="C227" i="13"/>
  <c r="B227" i="13"/>
  <c r="L226" i="13"/>
  <c r="G226" i="13"/>
  <c r="F226" i="13"/>
  <c r="E226" i="13"/>
  <c r="D226" i="13"/>
  <c r="C226" i="13"/>
  <c r="B226" i="13"/>
  <c r="L225" i="13"/>
  <c r="G225" i="13"/>
  <c r="F225" i="13"/>
  <c r="E225" i="13"/>
  <c r="D225" i="13"/>
  <c r="C225" i="13"/>
  <c r="B225" i="13"/>
  <c r="L224" i="13"/>
  <c r="G224" i="13"/>
  <c r="F224" i="13"/>
  <c r="E224" i="13"/>
  <c r="D224" i="13"/>
  <c r="C224" i="13"/>
  <c r="B224" i="13"/>
  <c r="L223" i="13"/>
  <c r="G223" i="13"/>
  <c r="F223" i="13"/>
  <c r="E223" i="13"/>
  <c r="D223" i="13"/>
  <c r="C223" i="13"/>
  <c r="B223" i="13"/>
  <c r="L222" i="13"/>
  <c r="G222" i="13"/>
  <c r="F222" i="13"/>
  <c r="E222" i="13"/>
  <c r="D222" i="13"/>
  <c r="C222" i="13"/>
  <c r="B222" i="13"/>
  <c r="L221" i="13"/>
  <c r="G221" i="13"/>
  <c r="F221" i="13"/>
  <c r="E221" i="13"/>
  <c r="D221" i="13"/>
  <c r="C221" i="13"/>
  <c r="B221" i="13"/>
  <c r="L220" i="13"/>
  <c r="G220" i="13"/>
  <c r="F220" i="13"/>
  <c r="E220" i="13"/>
  <c r="D220" i="13"/>
  <c r="C220" i="13"/>
  <c r="B220" i="13"/>
  <c r="L219" i="13"/>
  <c r="G219" i="13"/>
  <c r="F219" i="13"/>
  <c r="E219" i="13"/>
  <c r="D219" i="13"/>
  <c r="C219" i="13"/>
  <c r="B219" i="13"/>
  <c r="L218" i="13"/>
  <c r="G218" i="13"/>
  <c r="F218" i="13"/>
  <c r="E218" i="13"/>
  <c r="D218" i="13"/>
  <c r="C218" i="13"/>
  <c r="B218" i="13"/>
  <c r="L217" i="13"/>
  <c r="G217" i="13"/>
  <c r="F217" i="13"/>
  <c r="E217" i="13"/>
  <c r="D217" i="13"/>
  <c r="C217" i="13"/>
  <c r="B217" i="13"/>
  <c r="L216" i="13"/>
  <c r="G216" i="13"/>
  <c r="F216" i="13"/>
  <c r="E216" i="13"/>
  <c r="D216" i="13"/>
  <c r="C216" i="13"/>
  <c r="B216" i="13"/>
  <c r="L215" i="13"/>
  <c r="G215" i="13"/>
  <c r="F215" i="13"/>
  <c r="E215" i="13"/>
  <c r="D215" i="13"/>
  <c r="C215" i="13"/>
  <c r="B215" i="13"/>
  <c r="L214" i="13"/>
  <c r="G214" i="13"/>
  <c r="F214" i="13"/>
  <c r="E214" i="13"/>
  <c r="D214" i="13"/>
  <c r="C214" i="13"/>
  <c r="B214" i="13"/>
  <c r="L213" i="13"/>
  <c r="G213" i="13"/>
  <c r="F213" i="13"/>
  <c r="E213" i="13"/>
  <c r="D213" i="13"/>
  <c r="C213" i="13"/>
  <c r="B213" i="13"/>
  <c r="L212" i="13"/>
  <c r="G212" i="13"/>
  <c r="F212" i="13"/>
  <c r="E212" i="13"/>
  <c r="D212" i="13"/>
  <c r="C212" i="13"/>
  <c r="B212" i="13"/>
  <c r="L211" i="13"/>
  <c r="G211" i="13"/>
  <c r="F211" i="13"/>
  <c r="E211" i="13"/>
  <c r="D211" i="13"/>
  <c r="C211" i="13"/>
  <c r="B211" i="13"/>
  <c r="L210" i="13"/>
  <c r="G210" i="13"/>
  <c r="F210" i="13"/>
  <c r="E210" i="13"/>
  <c r="D210" i="13"/>
  <c r="C210" i="13"/>
  <c r="B210" i="13"/>
  <c r="L209" i="13"/>
  <c r="G209" i="13"/>
  <c r="F209" i="13"/>
  <c r="E209" i="13"/>
  <c r="D209" i="13"/>
  <c r="C209" i="13"/>
  <c r="B209" i="13"/>
  <c r="L208" i="13"/>
  <c r="G208" i="13"/>
  <c r="F208" i="13"/>
  <c r="E208" i="13"/>
  <c r="D208" i="13"/>
  <c r="C208" i="13"/>
  <c r="B208" i="13"/>
  <c r="L207" i="13"/>
  <c r="G207" i="13"/>
  <c r="F207" i="13"/>
  <c r="E207" i="13"/>
  <c r="D207" i="13"/>
  <c r="C207" i="13"/>
  <c r="B207" i="13"/>
  <c r="L206" i="13"/>
  <c r="G206" i="13"/>
  <c r="F206" i="13"/>
  <c r="E206" i="13"/>
  <c r="D206" i="13"/>
  <c r="C206" i="13"/>
  <c r="B206" i="13"/>
  <c r="L205" i="13"/>
  <c r="G205" i="13"/>
  <c r="F205" i="13"/>
  <c r="E205" i="13"/>
  <c r="D205" i="13"/>
  <c r="C205" i="13"/>
  <c r="B205" i="13"/>
  <c r="L204" i="13"/>
  <c r="G204" i="13"/>
  <c r="F204" i="13"/>
  <c r="E204" i="13"/>
  <c r="D204" i="13"/>
  <c r="C204" i="13"/>
  <c r="B204" i="13"/>
  <c r="L203" i="13"/>
  <c r="G203" i="13"/>
  <c r="F203" i="13"/>
  <c r="E203" i="13"/>
  <c r="D203" i="13"/>
  <c r="C203" i="13"/>
  <c r="B203" i="13"/>
  <c r="L202" i="13"/>
  <c r="G202" i="13"/>
  <c r="F202" i="13"/>
  <c r="E202" i="13"/>
  <c r="D202" i="13"/>
  <c r="C202" i="13"/>
  <c r="B202" i="13"/>
  <c r="L201" i="13"/>
  <c r="G201" i="13"/>
  <c r="F201" i="13"/>
  <c r="E201" i="13"/>
  <c r="D201" i="13"/>
  <c r="C201" i="13"/>
  <c r="B201" i="13"/>
  <c r="L200" i="13"/>
  <c r="G200" i="13"/>
  <c r="F200" i="13"/>
  <c r="E200" i="13"/>
  <c r="D200" i="13"/>
  <c r="C200" i="13"/>
  <c r="B200" i="13"/>
  <c r="L199" i="13"/>
  <c r="G199" i="13"/>
  <c r="F199" i="13"/>
  <c r="E199" i="13"/>
  <c r="D199" i="13"/>
  <c r="C199" i="13"/>
  <c r="B199" i="13"/>
  <c r="L198" i="13"/>
  <c r="G198" i="13"/>
  <c r="F198" i="13"/>
  <c r="E198" i="13"/>
  <c r="D198" i="13"/>
  <c r="C198" i="13"/>
  <c r="B198" i="13"/>
  <c r="L197" i="13"/>
  <c r="G197" i="13"/>
  <c r="F197" i="13"/>
  <c r="E197" i="13"/>
  <c r="D197" i="13"/>
  <c r="C197" i="13"/>
  <c r="B197" i="13"/>
  <c r="L196" i="13"/>
  <c r="G196" i="13"/>
  <c r="F196" i="13"/>
  <c r="E196" i="13"/>
  <c r="D196" i="13"/>
  <c r="C196" i="13"/>
  <c r="B196" i="13"/>
  <c r="L195" i="13"/>
  <c r="G195" i="13"/>
  <c r="F195" i="13"/>
  <c r="E195" i="13"/>
  <c r="D195" i="13"/>
  <c r="C195" i="13"/>
  <c r="B195" i="13"/>
  <c r="L194" i="13"/>
  <c r="G194" i="13"/>
  <c r="F194" i="13"/>
  <c r="E194" i="13"/>
  <c r="D194" i="13"/>
  <c r="C194" i="13"/>
  <c r="B194" i="13"/>
  <c r="L193" i="13"/>
  <c r="G193" i="13"/>
  <c r="F193" i="13"/>
  <c r="E193" i="13"/>
  <c r="D193" i="13"/>
  <c r="C193" i="13"/>
  <c r="B193" i="13"/>
  <c r="L192" i="13"/>
  <c r="G192" i="13"/>
  <c r="F192" i="13"/>
  <c r="E192" i="13"/>
  <c r="D192" i="13"/>
  <c r="C192" i="13"/>
  <c r="B192" i="13"/>
  <c r="L191" i="13"/>
  <c r="G191" i="13"/>
  <c r="F191" i="13"/>
  <c r="E191" i="13"/>
  <c r="D191" i="13"/>
  <c r="C191" i="13"/>
  <c r="B191" i="13"/>
  <c r="L190" i="13"/>
  <c r="G190" i="13"/>
  <c r="F190" i="13"/>
  <c r="E190" i="13"/>
  <c r="D190" i="13"/>
  <c r="C190" i="13"/>
  <c r="B190" i="13"/>
  <c r="L189" i="13"/>
  <c r="G189" i="13"/>
  <c r="F189" i="13"/>
  <c r="E189" i="13"/>
  <c r="D189" i="13"/>
  <c r="C189" i="13"/>
  <c r="B189" i="13"/>
  <c r="L188" i="13"/>
  <c r="G188" i="13"/>
  <c r="F188" i="13"/>
  <c r="E188" i="13"/>
  <c r="D188" i="13"/>
  <c r="C188" i="13"/>
  <c r="B188" i="13"/>
  <c r="L187" i="13"/>
  <c r="G187" i="13"/>
  <c r="F187" i="13"/>
  <c r="E187" i="13"/>
  <c r="D187" i="13"/>
  <c r="C187" i="13"/>
  <c r="B187" i="13"/>
  <c r="L186" i="13"/>
  <c r="G186" i="13"/>
  <c r="F186" i="13"/>
  <c r="E186" i="13"/>
  <c r="D186" i="13"/>
  <c r="C186" i="13"/>
  <c r="B186" i="13"/>
  <c r="L185" i="13"/>
  <c r="G185" i="13"/>
  <c r="F185" i="13"/>
  <c r="E185" i="13"/>
  <c r="D185" i="13"/>
  <c r="C185" i="13"/>
  <c r="B185" i="13"/>
  <c r="L184" i="13"/>
  <c r="G184" i="13"/>
  <c r="F184" i="13"/>
  <c r="E184" i="13"/>
  <c r="D184" i="13"/>
  <c r="C184" i="13"/>
  <c r="B184" i="13"/>
  <c r="L183" i="13"/>
  <c r="G183" i="13"/>
  <c r="F183" i="13"/>
  <c r="E183" i="13"/>
  <c r="D183" i="13"/>
  <c r="C183" i="13"/>
  <c r="B183" i="13"/>
  <c r="L182" i="13"/>
  <c r="G182" i="13"/>
  <c r="F182" i="13"/>
  <c r="E182" i="13"/>
  <c r="D182" i="13"/>
  <c r="C182" i="13"/>
  <c r="B182" i="13"/>
  <c r="L181" i="13"/>
  <c r="G181" i="13"/>
  <c r="F181" i="13"/>
  <c r="E181" i="13"/>
  <c r="D181" i="13"/>
  <c r="C181" i="13"/>
  <c r="B181" i="13"/>
  <c r="L180" i="13"/>
  <c r="G180" i="13"/>
  <c r="F180" i="13"/>
  <c r="E180" i="13"/>
  <c r="D180" i="13"/>
  <c r="C180" i="13"/>
  <c r="B180" i="13"/>
  <c r="L179" i="13"/>
  <c r="G179" i="13"/>
  <c r="F179" i="13"/>
  <c r="E179" i="13"/>
  <c r="D179" i="13"/>
  <c r="C179" i="13"/>
  <c r="B179" i="13"/>
  <c r="L178" i="13"/>
  <c r="G178" i="13"/>
  <c r="F178" i="13"/>
  <c r="E178" i="13"/>
  <c r="D178" i="13"/>
  <c r="C178" i="13"/>
  <c r="B178" i="13"/>
  <c r="L177" i="13"/>
  <c r="G177" i="13"/>
  <c r="F177" i="13"/>
  <c r="E177" i="13"/>
  <c r="D177" i="13"/>
  <c r="C177" i="13"/>
  <c r="B177" i="13"/>
  <c r="L176" i="13"/>
  <c r="G176" i="13"/>
  <c r="F176" i="13"/>
  <c r="E176" i="13"/>
  <c r="D176" i="13"/>
  <c r="C176" i="13"/>
  <c r="B176" i="13"/>
  <c r="L175" i="13"/>
  <c r="G175" i="13"/>
  <c r="F175" i="13"/>
  <c r="E175" i="13"/>
  <c r="D175" i="13"/>
  <c r="C175" i="13"/>
  <c r="B175" i="13"/>
  <c r="L174" i="13"/>
  <c r="G174" i="13"/>
  <c r="F174" i="13"/>
  <c r="E174" i="13"/>
  <c r="D174" i="13"/>
  <c r="C174" i="13"/>
  <c r="B174" i="13"/>
  <c r="L173" i="13"/>
  <c r="G173" i="13"/>
  <c r="F173" i="13"/>
  <c r="E173" i="13"/>
  <c r="D173" i="13"/>
  <c r="C173" i="13"/>
  <c r="B173" i="13"/>
  <c r="L172" i="13"/>
  <c r="G172" i="13"/>
  <c r="F172" i="13"/>
  <c r="E172" i="13"/>
  <c r="D172" i="13"/>
  <c r="C172" i="13"/>
  <c r="B172" i="13"/>
  <c r="L171" i="13"/>
  <c r="G171" i="13"/>
  <c r="F171" i="13"/>
  <c r="E171" i="13"/>
  <c r="D171" i="13"/>
  <c r="C171" i="13"/>
  <c r="B171" i="13"/>
  <c r="L170" i="13"/>
  <c r="G170" i="13"/>
  <c r="F170" i="13"/>
  <c r="E170" i="13"/>
  <c r="D170" i="13"/>
  <c r="C170" i="13"/>
  <c r="B170" i="13"/>
  <c r="L169" i="13"/>
  <c r="G169" i="13"/>
  <c r="F169" i="13"/>
  <c r="E169" i="13"/>
  <c r="D169" i="13"/>
  <c r="C169" i="13"/>
  <c r="B169" i="13"/>
  <c r="L168" i="13"/>
  <c r="G168" i="13"/>
  <c r="F168" i="13"/>
  <c r="E168" i="13"/>
  <c r="D168" i="13"/>
  <c r="C168" i="13"/>
  <c r="B168" i="13"/>
  <c r="L167" i="13"/>
  <c r="G167" i="13"/>
  <c r="F167" i="13"/>
  <c r="E167" i="13"/>
  <c r="D167" i="13"/>
  <c r="C167" i="13"/>
  <c r="B167" i="13"/>
  <c r="L166" i="13"/>
  <c r="G166" i="13"/>
  <c r="F166" i="13"/>
  <c r="E166" i="13"/>
  <c r="D166" i="13"/>
  <c r="C166" i="13"/>
  <c r="B166" i="13"/>
  <c r="L165" i="13"/>
  <c r="G165" i="13"/>
  <c r="F165" i="13"/>
  <c r="E165" i="13"/>
  <c r="D165" i="13"/>
  <c r="C165" i="13"/>
  <c r="B165" i="13"/>
  <c r="L164" i="13"/>
  <c r="G164" i="13"/>
  <c r="F164" i="13"/>
  <c r="E164" i="13"/>
  <c r="D164" i="13"/>
  <c r="C164" i="13"/>
  <c r="B164" i="13"/>
  <c r="L163" i="13"/>
  <c r="G163" i="13"/>
  <c r="F163" i="13"/>
  <c r="E163" i="13"/>
  <c r="D163" i="13"/>
  <c r="C163" i="13"/>
  <c r="B163" i="13"/>
  <c r="L162" i="13"/>
  <c r="G162" i="13"/>
  <c r="F162" i="13"/>
  <c r="E162" i="13"/>
  <c r="D162" i="13"/>
  <c r="C162" i="13"/>
  <c r="B162" i="13"/>
  <c r="L161" i="13"/>
  <c r="G161" i="13"/>
  <c r="F161" i="13"/>
  <c r="E161" i="13"/>
  <c r="D161" i="13"/>
  <c r="C161" i="13"/>
  <c r="B161" i="13"/>
  <c r="L160" i="13"/>
  <c r="G160" i="13"/>
  <c r="F160" i="13"/>
  <c r="E160" i="13"/>
  <c r="D160" i="13"/>
  <c r="C160" i="13"/>
  <c r="B160" i="13"/>
  <c r="L159" i="13"/>
  <c r="G159" i="13"/>
  <c r="F159" i="13"/>
  <c r="E159" i="13"/>
  <c r="D159" i="13"/>
  <c r="C159" i="13"/>
  <c r="B159" i="13"/>
  <c r="L158" i="13"/>
  <c r="G158" i="13"/>
  <c r="F158" i="13"/>
  <c r="E158" i="13"/>
  <c r="D158" i="13"/>
  <c r="C158" i="13"/>
  <c r="B158" i="13"/>
  <c r="L157" i="13"/>
  <c r="G157" i="13"/>
  <c r="F157" i="13"/>
  <c r="E157" i="13"/>
  <c r="D157" i="13"/>
  <c r="C157" i="13"/>
  <c r="B157" i="13"/>
  <c r="L156" i="13"/>
  <c r="G156" i="13"/>
  <c r="F156" i="13"/>
  <c r="E156" i="13"/>
  <c r="D156" i="13"/>
  <c r="C156" i="13"/>
  <c r="B156" i="13"/>
  <c r="L155" i="13"/>
  <c r="G155" i="13"/>
  <c r="F155" i="13"/>
  <c r="E155" i="13"/>
  <c r="D155" i="13"/>
  <c r="C155" i="13"/>
  <c r="B155" i="13"/>
  <c r="L154" i="13"/>
  <c r="G154" i="13"/>
  <c r="F154" i="13"/>
  <c r="E154" i="13"/>
  <c r="D154" i="13"/>
  <c r="C154" i="13"/>
  <c r="B154" i="13"/>
  <c r="L153" i="13"/>
  <c r="G153" i="13"/>
  <c r="F153" i="13"/>
  <c r="E153" i="13"/>
  <c r="D153" i="13"/>
  <c r="C153" i="13"/>
  <c r="B153" i="13"/>
  <c r="L152" i="13"/>
  <c r="G152" i="13"/>
  <c r="F152" i="13"/>
  <c r="E152" i="13"/>
  <c r="D152" i="13"/>
  <c r="C152" i="13"/>
  <c r="B152" i="13"/>
  <c r="L151" i="13"/>
  <c r="G151" i="13"/>
  <c r="F151" i="13"/>
  <c r="E151" i="13"/>
  <c r="D151" i="13"/>
  <c r="C151" i="13"/>
  <c r="B151" i="13"/>
  <c r="L150" i="13"/>
  <c r="G150" i="13"/>
  <c r="F150" i="13"/>
  <c r="E150" i="13"/>
  <c r="D150" i="13"/>
  <c r="C150" i="13"/>
  <c r="B150" i="13"/>
  <c r="L149" i="13"/>
  <c r="G149" i="13"/>
  <c r="F149" i="13"/>
  <c r="E149" i="13"/>
  <c r="D149" i="13"/>
  <c r="C149" i="13"/>
  <c r="B149" i="13"/>
  <c r="L148" i="13"/>
  <c r="G148" i="13"/>
  <c r="F148" i="13"/>
  <c r="E148" i="13"/>
  <c r="D148" i="13"/>
  <c r="C148" i="13"/>
  <c r="B148" i="13"/>
  <c r="L147" i="13"/>
  <c r="G147" i="13"/>
  <c r="F147" i="13"/>
  <c r="E147" i="13"/>
  <c r="D147" i="13"/>
  <c r="C147" i="13"/>
  <c r="B147" i="13"/>
  <c r="L146" i="13"/>
  <c r="G146" i="13"/>
  <c r="F146" i="13"/>
  <c r="E146" i="13"/>
  <c r="D146" i="13"/>
  <c r="C146" i="13"/>
  <c r="B146" i="13"/>
  <c r="L145" i="13"/>
  <c r="G145" i="13"/>
  <c r="F145" i="13"/>
  <c r="E145" i="13"/>
  <c r="D145" i="13"/>
  <c r="C145" i="13"/>
  <c r="B145" i="13"/>
  <c r="L144" i="13"/>
  <c r="G144" i="13"/>
  <c r="F144" i="13"/>
  <c r="E144" i="13"/>
  <c r="D144" i="13"/>
  <c r="C144" i="13"/>
  <c r="B144" i="13"/>
  <c r="L143" i="13"/>
  <c r="G143" i="13"/>
  <c r="F143" i="13"/>
  <c r="E143" i="13"/>
  <c r="D143" i="13"/>
  <c r="C143" i="13"/>
  <c r="B143" i="13"/>
  <c r="L142" i="13"/>
  <c r="G142" i="13"/>
  <c r="F142" i="13"/>
  <c r="E142" i="13"/>
  <c r="D142" i="13"/>
  <c r="C142" i="13"/>
  <c r="B142" i="13"/>
  <c r="L141" i="13"/>
  <c r="G141" i="13"/>
  <c r="F141" i="13"/>
  <c r="E141" i="13"/>
  <c r="D141" i="13"/>
  <c r="C141" i="13"/>
  <c r="B141" i="13"/>
  <c r="L140" i="13"/>
  <c r="G140" i="13"/>
  <c r="F140" i="13"/>
  <c r="E140" i="13"/>
  <c r="D140" i="13"/>
  <c r="C140" i="13"/>
  <c r="B140" i="13"/>
  <c r="L139" i="13"/>
  <c r="G139" i="13"/>
  <c r="F139" i="13"/>
  <c r="E139" i="13"/>
  <c r="D139" i="13"/>
  <c r="C139" i="13"/>
  <c r="B139" i="13"/>
  <c r="L138" i="13"/>
  <c r="G138" i="13"/>
  <c r="F138" i="13"/>
  <c r="E138" i="13"/>
  <c r="D138" i="13"/>
  <c r="C138" i="13"/>
  <c r="B138" i="13"/>
  <c r="L137" i="13"/>
  <c r="G137" i="13"/>
  <c r="F137" i="13"/>
  <c r="E137" i="13"/>
  <c r="D137" i="13"/>
  <c r="C137" i="13"/>
  <c r="B137" i="13"/>
  <c r="L136" i="13"/>
  <c r="G136" i="13"/>
  <c r="F136" i="13"/>
  <c r="E136" i="13"/>
  <c r="D136" i="13"/>
  <c r="C136" i="13"/>
  <c r="B136" i="13"/>
  <c r="L135" i="13"/>
  <c r="G135" i="13"/>
  <c r="F135" i="13"/>
  <c r="E135" i="13"/>
  <c r="D135" i="13"/>
  <c r="C135" i="13"/>
  <c r="B135" i="13"/>
  <c r="L134" i="13"/>
  <c r="G134" i="13"/>
  <c r="F134" i="13"/>
  <c r="E134" i="13"/>
  <c r="D134" i="13"/>
  <c r="C134" i="13"/>
  <c r="B134" i="13"/>
  <c r="L133" i="13"/>
  <c r="G133" i="13"/>
  <c r="F133" i="13"/>
  <c r="E133" i="13"/>
  <c r="D133" i="13"/>
  <c r="C133" i="13"/>
  <c r="B133" i="13"/>
  <c r="L132" i="13"/>
  <c r="G132" i="13"/>
  <c r="F132" i="13"/>
  <c r="E132" i="13"/>
  <c r="D132" i="13"/>
  <c r="C132" i="13"/>
  <c r="B132" i="13"/>
  <c r="L131" i="13"/>
  <c r="G131" i="13"/>
  <c r="F131" i="13"/>
  <c r="E131" i="13"/>
  <c r="D131" i="13"/>
  <c r="C131" i="13"/>
  <c r="B131" i="13"/>
  <c r="L130" i="13"/>
  <c r="G130" i="13"/>
  <c r="F130" i="13"/>
  <c r="E130" i="13"/>
  <c r="D130" i="13"/>
  <c r="C130" i="13"/>
  <c r="B130" i="13"/>
  <c r="L129" i="13"/>
  <c r="G129" i="13"/>
  <c r="F129" i="13"/>
  <c r="E129" i="13"/>
  <c r="D129" i="13"/>
  <c r="C129" i="13"/>
  <c r="B129" i="13"/>
  <c r="L128" i="13"/>
  <c r="G128" i="13"/>
  <c r="F128" i="13"/>
  <c r="E128" i="13"/>
  <c r="D128" i="13"/>
  <c r="C128" i="13"/>
  <c r="B128" i="13"/>
  <c r="L127" i="13"/>
  <c r="G127" i="13"/>
  <c r="F127" i="13"/>
  <c r="E127" i="13"/>
  <c r="D127" i="13"/>
  <c r="C127" i="13"/>
  <c r="B127" i="13"/>
  <c r="L126" i="13"/>
  <c r="G126" i="13"/>
  <c r="F126" i="13"/>
  <c r="E126" i="13"/>
  <c r="D126" i="13"/>
  <c r="C126" i="13"/>
  <c r="B126" i="13"/>
  <c r="L125" i="13"/>
  <c r="G125" i="13"/>
  <c r="F125" i="13"/>
  <c r="E125" i="13"/>
  <c r="D125" i="13"/>
  <c r="C125" i="13"/>
  <c r="B125" i="13"/>
  <c r="L124" i="13"/>
  <c r="G124" i="13"/>
  <c r="F124" i="13"/>
  <c r="E124" i="13"/>
  <c r="D124" i="13"/>
  <c r="C124" i="13"/>
  <c r="B124" i="13"/>
  <c r="L123" i="13"/>
  <c r="G123" i="13"/>
  <c r="F123" i="13"/>
  <c r="E123" i="13"/>
  <c r="D123" i="13"/>
  <c r="C123" i="13"/>
  <c r="B123" i="13"/>
  <c r="L122" i="13"/>
  <c r="G122" i="13"/>
  <c r="F122" i="13"/>
  <c r="E122" i="13"/>
  <c r="D122" i="13"/>
  <c r="C122" i="13"/>
  <c r="B122" i="13"/>
  <c r="L121" i="13"/>
  <c r="G121" i="13"/>
  <c r="F121" i="13"/>
  <c r="E121" i="13"/>
  <c r="D121" i="13"/>
  <c r="C121" i="13"/>
  <c r="B121" i="13"/>
  <c r="L120" i="13"/>
  <c r="G120" i="13"/>
  <c r="F120" i="13"/>
  <c r="E120" i="13"/>
  <c r="D120" i="13"/>
  <c r="C120" i="13"/>
  <c r="B120" i="13"/>
  <c r="L119" i="13"/>
  <c r="G119" i="13"/>
  <c r="F119" i="13"/>
  <c r="E119" i="13"/>
  <c r="D119" i="13"/>
  <c r="C119" i="13"/>
  <c r="B119" i="13"/>
  <c r="L118" i="13"/>
  <c r="G118" i="13"/>
  <c r="F118" i="13"/>
  <c r="E118" i="13"/>
  <c r="D118" i="13"/>
  <c r="C118" i="13"/>
  <c r="B118" i="13"/>
  <c r="L117" i="13"/>
  <c r="G117" i="13"/>
  <c r="F117" i="13"/>
  <c r="E117" i="13"/>
  <c r="D117" i="13"/>
  <c r="C117" i="13"/>
  <c r="B117" i="13"/>
  <c r="L116" i="13"/>
  <c r="G116" i="13"/>
  <c r="F116" i="13"/>
  <c r="E116" i="13"/>
  <c r="D116" i="13"/>
  <c r="C116" i="13"/>
  <c r="B116" i="13"/>
  <c r="L115" i="13"/>
  <c r="G115" i="13"/>
  <c r="F115" i="13"/>
  <c r="E115" i="13"/>
  <c r="D115" i="13"/>
  <c r="C115" i="13"/>
  <c r="B115" i="13"/>
  <c r="L114" i="13"/>
  <c r="G114" i="13"/>
  <c r="F114" i="13"/>
  <c r="E114" i="13"/>
  <c r="D114" i="13"/>
  <c r="C114" i="13"/>
  <c r="B114" i="13"/>
  <c r="L113" i="13"/>
  <c r="G113" i="13"/>
  <c r="F113" i="13"/>
  <c r="E113" i="13"/>
  <c r="D113" i="13"/>
  <c r="C113" i="13"/>
  <c r="B113" i="13"/>
  <c r="L112" i="13"/>
  <c r="G112" i="13"/>
  <c r="F112" i="13"/>
  <c r="E112" i="13"/>
  <c r="D112" i="13"/>
  <c r="C112" i="13"/>
  <c r="B112" i="13"/>
  <c r="L111" i="13"/>
  <c r="G111" i="13"/>
  <c r="F111" i="13"/>
  <c r="E111" i="13"/>
  <c r="D111" i="13"/>
  <c r="C111" i="13"/>
  <c r="B111" i="13"/>
  <c r="L110" i="13"/>
  <c r="G110" i="13"/>
  <c r="F110" i="13"/>
  <c r="E110" i="13"/>
  <c r="D110" i="13"/>
  <c r="C110" i="13"/>
  <c r="B110" i="13"/>
  <c r="L109" i="13"/>
  <c r="G109" i="13"/>
  <c r="F109" i="13"/>
  <c r="E109" i="13"/>
  <c r="D109" i="13"/>
  <c r="C109" i="13"/>
  <c r="B109" i="13"/>
  <c r="L108" i="13"/>
  <c r="G108" i="13"/>
  <c r="F108" i="13"/>
  <c r="E108" i="13"/>
  <c r="D108" i="13"/>
  <c r="C108" i="13"/>
  <c r="B108" i="13"/>
  <c r="L107" i="13"/>
  <c r="G107" i="13"/>
  <c r="F107" i="13"/>
  <c r="E107" i="13"/>
  <c r="D107" i="13"/>
  <c r="C107" i="13"/>
  <c r="B107" i="13"/>
  <c r="L106" i="13"/>
  <c r="G106" i="13"/>
  <c r="F106" i="13"/>
  <c r="E106" i="13"/>
  <c r="D106" i="13"/>
  <c r="C106" i="13"/>
  <c r="B106" i="13"/>
  <c r="L105" i="13"/>
  <c r="G105" i="13"/>
  <c r="F105" i="13"/>
  <c r="E105" i="13"/>
  <c r="D105" i="13"/>
  <c r="C105" i="13"/>
  <c r="B105" i="13"/>
  <c r="G41" i="13"/>
  <c r="F41" i="13"/>
  <c r="E41" i="13"/>
  <c r="D41" i="13"/>
  <c r="C41" i="13"/>
  <c r="B41" i="13"/>
  <c r="G40" i="13"/>
  <c r="F40" i="13"/>
  <c r="E40" i="13"/>
  <c r="D40" i="13"/>
  <c r="C40" i="13"/>
  <c r="B40" i="13"/>
  <c r="L39" i="13"/>
  <c r="K39" i="13"/>
  <c r="G39" i="13"/>
  <c r="F39" i="13"/>
  <c r="E39" i="13"/>
  <c r="D39" i="13"/>
  <c r="C39" i="13"/>
  <c r="B39" i="13"/>
  <c r="G38" i="13"/>
  <c r="F38" i="13"/>
  <c r="E38" i="13"/>
  <c r="D38" i="13"/>
  <c r="C38" i="13"/>
  <c r="B38" i="13"/>
  <c r="F37" i="13"/>
  <c r="E37" i="13"/>
  <c r="D37" i="13"/>
  <c r="C37" i="13"/>
  <c r="B37" i="13"/>
  <c r="G36" i="13"/>
  <c r="F36" i="13"/>
  <c r="E36" i="13"/>
  <c r="D36" i="13"/>
  <c r="C36" i="13"/>
  <c r="B36" i="13"/>
  <c r="G35" i="13"/>
  <c r="F35" i="13"/>
  <c r="E35" i="13"/>
  <c r="D35" i="13"/>
  <c r="C35" i="13"/>
  <c r="B35" i="13"/>
  <c r="G34" i="13"/>
  <c r="F34" i="13"/>
  <c r="E34" i="13"/>
  <c r="D34" i="13"/>
  <c r="C34" i="13"/>
  <c r="B34" i="13"/>
  <c r="G33" i="13"/>
  <c r="F33" i="13"/>
  <c r="E33" i="13"/>
  <c r="D33" i="13"/>
  <c r="C33" i="13"/>
  <c r="B33" i="13"/>
  <c r="G32" i="13"/>
  <c r="F32" i="13"/>
  <c r="E32" i="13"/>
  <c r="D32" i="13"/>
  <c r="C32" i="13"/>
  <c r="B32" i="13"/>
  <c r="G31" i="13"/>
  <c r="F31" i="13"/>
  <c r="E31" i="13"/>
  <c r="D31" i="13"/>
  <c r="C31" i="13"/>
  <c r="B31" i="13"/>
  <c r="G30" i="13"/>
  <c r="F30" i="13"/>
  <c r="E30" i="13"/>
  <c r="D30" i="13"/>
  <c r="C30" i="13"/>
  <c r="B30" i="13"/>
  <c r="G29" i="13"/>
  <c r="F29" i="13"/>
  <c r="E29" i="13"/>
  <c r="D29" i="13"/>
  <c r="C29" i="13"/>
  <c r="B29" i="13"/>
  <c r="G28" i="13"/>
  <c r="F28" i="13"/>
  <c r="E28" i="13"/>
  <c r="D28" i="13"/>
  <c r="C28" i="13"/>
  <c r="G27" i="13"/>
  <c r="F27" i="13"/>
  <c r="E27" i="13"/>
  <c r="D27" i="13"/>
  <c r="C27" i="13"/>
  <c r="B27" i="13"/>
  <c r="G26" i="13"/>
  <c r="F26" i="13"/>
  <c r="E26" i="13"/>
  <c r="D26" i="13"/>
  <c r="C26" i="13"/>
  <c r="B26" i="13"/>
  <c r="G25" i="13"/>
  <c r="F25" i="13"/>
  <c r="E25" i="13"/>
  <c r="D25" i="13"/>
  <c r="C25" i="13"/>
  <c r="B25" i="13"/>
  <c r="G24" i="13"/>
  <c r="F24" i="13"/>
  <c r="E24" i="13"/>
  <c r="D24" i="13"/>
  <c r="C24" i="13"/>
  <c r="B24" i="13"/>
  <c r="G23" i="13"/>
  <c r="F23" i="13"/>
  <c r="E23" i="13"/>
  <c r="D23" i="13"/>
  <c r="C23" i="13"/>
  <c r="B23" i="13"/>
  <c r="G22" i="13"/>
  <c r="F22" i="13"/>
  <c r="E22" i="13"/>
  <c r="D22" i="13"/>
  <c r="C22" i="13"/>
  <c r="B22" i="13"/>
  <c r="G21" i="13"/>
  <c r="F21" i="13"/>
  <c r="E21" i="13"/>
  <c r="D21" i="13"/>
  <c r="C21" i="13"/>
  <c r="B21" i="13"/>
  <c r="B3" i="13"/>
  <c r="A2" i="13"/>
  <c r="B1" i="13"/>
</calcChain>
</file>

<file path=xl/comments1.xml><?xml version="1.0" encoding="utf-8"?>
<comments xmlns="http://schemas.openxmlformats.org/spreadsheetml/2006/main">
  <authors>
    <author>xb21cn</author>
  </authors>
  <commentList>
    <comment ref="C3" authorId="0" shape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4" authorId="0" shape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2" deleted="1" background="1" saveData="1">
    <webPr parsePre="1" consecutive="1" xl2000="1" htmlTables="1" htmlFormat="all"/>
  </connection>
  <connection id="2" name="连接1" type="4" refreshedVersion="2" deleted="1" background="1" saveData="1">
    <webPr parsePre="1" consecutive="1" xl2000="1" htmlTables="1" htmlFormat="all"/>
  </connection>
  <connection id="3" name="连接2" type="4" refreshedVersion="2" deleted="1" background="1" saveData="1">
    <webPr parsePre="1" consecutive="1" xl2000="1" htmlTables="1" htmlFormat="all"/>
  </connection>
  <connection id="4" name="连接3" type="4" refreshedVersion="2" deleted="1" background="1" saveData="1">
    <webPr parsePre="1" consecutive="1" xl2000="1" htmlTables="1" htmlFormat="all"/>
  </connection>
  <connection id="5" name="连接4" type="4" refreshedVersion="2" deleted="1" background="1" saveData="1">
    <webPr parsePre="1" consecutive="1" xl2000="1" htmlTables="1" htmlFormat="all"/>
  </connection>
  <connection id="6" name="连接5" type="4" refreshedVersion="2" deleted="1" background="1" saveData="1">
    <webPr parsePre="1" consecutive="1" xl2000="1" htmlTables="1" htmlFormat="all"/>
  </connection>
  <connection id="7" name="连接6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<sst xmlns="http://schemas.openxmlformats.org/spreadsheetml/2006/main" count="349" uniqueCount="217">
  <si>
    <t>钉钉发个人消息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</si>
  <si>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</si>
  <si>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</si>
  <si>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</si>
  <si>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</si>
  <si>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</si>
  <si>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</si>
  <si>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</si>
  <si>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</si>
  <si>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</si>
  <si>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</si>
  <si>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</si>
  <si>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</si>
  <si>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</si>
  <si>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</si>
  <si>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</si>
  <si>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姓名</t>
  </si>
  <si>
    <t>手机长号</t>
  </si>
  <si>
    <t>微信</t>
  </si>
  <si>
    <t>QQ</t>
  </si>
  <si>
    <t>邮箱</t>
  </si>
  <si>
    <t>短号</t>
  </si>
  <si>
    <t>钉钉</t>
  </si>
  <si>
    <t>发送文本</t>
  </si>
  <si>
    <t>老黄牛</t>
  </si>
  <si>
    <t>老黄牛老师，你好啊！</t>
  </si>
  <si>
    <t>小黄牛</t>
  </si>
  <si>
    <t>小黄牛老师，你好啊！</t>
  </si>
  <si>
    <t>生成文件</t>
  </si>
  <si>
    <t>第20行为注释行</t>
  </si>
  <si>
    <t>pause</t>
  </si>
  <si>
    <t>参数16</t>
  </si>
  <si>
    <t>参数17</t>
  </si>
  <si>
    <t>参数18</t>
  </si>
  <si>
    <t>参数19</t>
  </si>
  <si>
    <t>参数20</t>
  </si>
  <si>
    <t>执行脚本</t>
  </si>
  <si>
    <t>新的根文件夹</t>
  </si>
  <si>
    <t>新相对文件夹</t>
  </si>
  <si>
    <t>新文件名</t>
  </si>
  <si>
    <t>新绝对路径</t>
  </si>
  <si>
    <t>消息</t>
  </si>
  <si>
    <t>绝对路径</t>
  </si>
  <si>
    <t>相对目录</t>
  </si>
  <si>
    <t>文件相对路径</t>
  </si>
  <si>
    <t>文件名</t>
  </si>
  <si>
    <t>修改时间</t>
  </si>
  <si>
    <t>大小(kb)</t>
  </si>
  <si>
    <t>扩展名</t>
  </si>
  <si>
    <t>一层目录</t>
  </si>
  <si>
    <t>二层目录</t>
  </si>
  <si>
    <t>三层目录</t>
  </si>
  <si>
    <t>四层目录</t>
  </si>
  <si>
    <t>五层目录</t>
  </si>
  <si>
    <t>六层目录</t>
  </si>
  <si>
    <t>七层目录</t>
  </si>
  <si>
    <t>微信发送指定文件（前部）</t>
  </si>
  <si>
    <t>微信发送指定文件核心</t>
  </si>
  <si>
    <t>C:\Windows\System32\calc.exe</t>
  </si>
  <si>
    <t>C:\Windows\System32\perfmon.exe</t>
  </si>
  <si>
    <t>工号</t>
  </si>
  <si>
    <t>手机短号</t>
  </si>
  <si>
    <t>分割</t>
  </si>
  <si>
    <t>13012345679</t>
  </si>
  <si>
    <t>111111@qq.com</t>
  </si>
  <si>
    <t>222222@qq.com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</si>
  <si>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</si>
  <si>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</si>
  <si>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</si>
  <si>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</si>
  <si>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</si>
  <si>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</si>
  <si>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</si>
  <si>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</si>
  <si>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</si>
  <si>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</si>
  <si>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</si>
  <si>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</si>
  <si>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</si>
  <si>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</si>
  <si>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</si>
  <si>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</si>
  <si>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</si>
  <si>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</si>
  <si>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</si>
  <si>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</si>
  <si>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</si>
  <si>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</si>
  <si>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</si>
  <si>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</si>
  <si>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</si>
  <si>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</si>
  <si>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</si>
  <si>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</si>
  <si>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</si>
  <si>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</si>
  <si>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</si>
  <si>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</si>
  <si>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</si>
  <si>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</si>
  <si>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</si>
  <si>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</si>
  <si>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</si>
  <si>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</si>
  <si>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</si>
  <si>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</si>
  <si>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</si>
  <si>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</si>
  <si>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</si>
  <si>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</si>
  <si>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</si>
  <si>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</si>
  <si>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</si>
  <si>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</si>
  <si>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</si>
  <si>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</si>
  <si>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</si>
  <si>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</si>
  <si>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说明1</t>
  </si>
  <si>
    <t>说明2</t>
  </si>
  <si>
    <t>说明3</t>
  </si>
  <si>
    <t>发消息</t>
  </si>
  <si>
    <t>ahk</t>
  </si>
  <si>
    <t>钉钉消息加图片</t>
  </si>
  <si>
    <t xml:space="preserve">CoordMode, Mouse, Screen
if (x1 &gt; 0) {
}else{
  msgbox % "因技术限制，此操作需要手动操作。"
}
TrayTip,,% "请在3秒内将光标移动到搜索框。"
mousemove,x1, y1 
Sleep % 3000
MouseGetPos, x1, y1 
Send, {LButton}
Send, {Backspace 99}
Sleep % 500
SendInput % "{TEXT}" . "参数01"
Sleep % 1500
Send, {Enter}
Sleep % 300
Send, {Backspace 99}
Sleep % 300
SendInput % "{TEXT}" . "参数11"
Sleep % 200
SendInput % "{TEXT}" . ""
sleep,200
send,^v
Sleep % 5000
;Send, {Enter}
</t>
  </si>
  <si>
    <t>事先要复制好图片到剪贴板，参数07：钉钉的姓名，参数11：要发送的消息</t>
  </si>
  <si>
    <t>参数07：钉钉的姓名，参数11：要发送的消息</t>
  </si>
  <si>
    <t>钉钉消息到聊天窗</t>
  </si>
  <si>
    <r>
      <rPr>
        <sz val="11"/>
        <color theme="1"/>
        <rFont val="宋体"/>
        <charset val="134"/>
        <scheme val="minor"/>
      </rPr>
      <t xml:space="preserve">CoordMode, Mouse, Screen
if (x1 &gt; 0) {
}else{
  msgbox % "因技术限制，此操作需要手动操作。"
}
TrayTip,,% "请在3秒内将光标移动到搜索框。"
mousemove,x1, y1 
Sleep % 3000
MouseGetPos, x1, y1 
Send, {LButton}
Send, {Backspace 99}
Sleep % 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00
SendInput % "{TEXT}" . "参数07"
Sleep % 2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 xml:space="preserve">00
Send, {Enter}
Sleep % 300
Send, {Backspace 99}
Sleep % 300
SendInput % "{TEXT}" . "参数11"
Sleep % 500
SendInput % "{TEXT}" . ""
Sleep % 5000
;Send, {Enter}
</t>
    </r>
  </si>
  <si>
    <t xml:space="preserve">CoordMode, Mouse, Screen
if (x1 &gt; 0) {
}else{
  msgbox % "因技术限制，此操作需要手动操作。"
}
TrayTip,,% "请在3秒内将光标移动到搜索框。"
mousemove,x1, y1 
Sleep % 3000
MouseGetPos, x1, y1 
Send, {LButton}
Send, {Backspace 9}
Sleep % 300
SendInput % "{TEXT}" . "参数07"
Sleep % 2500
Send, {Enter}
Sleep % 500
Send, {Backspace 99}
Sleep % 1000
SendInput % "{TEXT}" . "参数11"
Sleep % 500
SendInput % "{TEXT}" . ""
Sleep % 3000
Send, {Enter}
</t>
  </si>
  <si>
    <t>_@别人</t>
  </si>
  <si>
    <t xml:space="preserve">
SendInput % "{TEXT}" . "参数01"
Sleep % 500
Send, {Enter}
</t>
  </si>
  <si>
    <r>
      <rPr>
        <sz val="11"/>
        <color theme="1"/>
        <rFont val="宋体"/>
        <charset val="134"/>
        <scheme val="minor"/>
      </rPr>
      <t>参数0</t>
    </r>
    <r>
      <rPr>
        <sz val="11"/>
        <color theme="1"/>
        <rFont val="宋体"/>
        <charset val="134"/>
        <scheme val="minor"/>
      </rPr>
      <t>1：姓名</t>
    </r>
  </si>
  <si>
    <t>输姓名并回车（ding通知，加群）</t>
  </si>
  <si>
    <t xml:space="preserve">;----------------参数01-----------------
if (flag &lt;&gt; 1) {
  msgbox % "请先选好操作界面，点击“确认”后，3秒后进行操作。"
  TrayTip,,% "请3秒内将光标移动到指定搜索框。"
  Sleep % 3000
  flag := 1
}
;点击并删除原有数据
Click %x1%, %y1%, 1
Sleep % 500
;输入姓名
SendInput % "{TEXT}" . "参数01"
Sleep % 2000
;输入回车
Send, {Enter}
Sleep % 500
</t>
  </si>
  <si>
    <t>参数01：姓名</t>
  </si>
  <si>
    <t>微信发个人消息</t>
  </si>
  <si>
    <t>WinShow,微信 ahk_class WeChatMainWndForPC
WinActivate,微信 ahk_class WeChatMainWndForPC
Sleep,300
Send ^f
Sleep,200
Send {text} 参数03
Sleep,1500
OutputDebug, "找到"
Send {Enter}
OutputDebug, "进入"
Sleep 1000
SendInput % "{TEXT}" . "参数11"
Sleep % 500
SendInput % "{TEXT}" . ""
Sleep % 3000
Send {Enter}</t>
  </si>
  <si>
    <t>参数04：姓名;参数12：文件路径</t>
  </si>
  <si>
    <t>微信复制消息到聊天窗</t>
  </si>
  <si>
    <r>
      <rPr>
        <sz val="11"/>
        <color theme="1"/>
        <rFont val="宋体"/>
        <charset val="134"/>
        <scheme val="minor"/>
      </rPr>
      <t xml:space="preserve">WinShow,微信 ahk_class WeChatMainWndForPC
WinActivate,微信 ahk_class WeChatMainWndForPC
Sleep,300
Send ^f
Sleep,200
Send {text} 参数03
Sleep,1500
Send {Enter}
Sleep 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00
SendInput % "{TEXT}" . "参数11"
Sleep % 500
SendInput % "{TEXT}" . ""
Sleep % 5000
;Send {Enter}</t>
    </r>
  </si>
  <si>
    <t>QQ发送消息</t>
  </si>
  <si>
    <t xml:space="preserve">;---------参数01的代码块---------
Run % "tencent://message/?uin=参数04&amp;Site=LG&amp;Menu=yes"
Sleep,2500
SendInput % "{TEXT}" . "参数11"
Sleep % 500
SendInput % "{TEXT}" . ""
Sleep % 100
Send {Enter}
Sleep % 2000
</t>
  </si>
  <si>
    <t>QQ复制消息到聊天窗</t>
  </si>
  <si>
    <t>参数04：发送QQ号，参数11：要发送的消息</t>
  </si>
  <si>
    <t>QQ群友发消息(比较麻烦)</t>
  </si>
  <si>
    <t>; -----------------参数01---------------
; 定位QQ搜索框的坐标、群友搜索结果的坐标
CoordMode, Mouse, Screen
if (x1 &gt; 0) {
}else{
  msgbox % "因技术限制，此操作需要手动操作。"
}
; 激活聊天窗口
TrayTip,,% "请3秒内将光标移动到QQ搜索框。"
mousemove,x1, y1 
Sleep % 3000
MouseGetPos, x1, y1 
Click %x1%, %y1%, 1
Send, {LButton}
Send, {Backspace 9}
Sleep % 1000
SendInput % "{TEXT}" . "参数04"
Sleep % 3000
TrayTip,,% "请3秒内将光标移动群友的搜索结果。"
mousemove,x2, y2 
Sleep % 3000
MouseGetPos, x2, y2 
Click %x2%, %y2%, 2
Sleep % 500
; 发送消息
Send, {Backspace 99}
Sleep % 1000
SendInput % "{TEXT}" . "参数11"
Sleep % 3000</t>
  </si>
  <si>
    <t xml:space="preserve">
Explorer_GetSelection(hwnd="")   
{  
    WinGet, process, processName, % "ahk_id" hwnd := hwnd? hwnd:WinExist("A")  
    WinGetClass class, ahk_id %hwnd%  
    if (process != "explorer.exe")  
        return  
    if (class ~= "Progman|WorkerW") {  
            ControlGet, files, List, Selected Col1, SysListView321, ahk_class %class%  
            Loop, Parse, files, `n, `r  
                ToReturn .= A_Desktop "\" A_LoopField "`n"  
        } else if (class ~= "(Cabinet|Explore)WClass") {  
            for window in ComObjCreate("Shell.Application").Windows 
   {
    try{
                if (window.hwnd==hwnd)  
                    sel := window.Document.SelectedItems  
    }catch e {
     continue
   }
   }
            for item in sel  
                ToReturn .= item.path "`n"  
        }  
    return Trim(ToReturn,"`n")  
} 
/*
 path_list =
 (
 d:\test.txt
 d:\test2.txt
 )
 FileToClipboard(path_list)
*/
;~ 当前内容如果是非文件,则清空并写入目标文件,如果是文件,则将目标文件加入剪贴板行列
;~ 就是将不同目录的文件添加到剪贴板,可以一并复制
FileToClipboard(PathToCopy, Method="copy")
{
 ; 展开为完整路径
  Loop, Parse, PathToCopy, `n, `r
   PathToCopy_Full .= "`n" GetFullPath(A_LoopField)
  PathToCopy := Trim(PathToCopy_Full, "`n")
 FileCount:=0
 PathLength:=0
 ; Count files and total string length
 Loop,Parse,PathToCopy,`n,`r
 {
  FileCount++
  PathLength += StrLen(A_LoopField)
 }
 pid:=DllCall("GetCurrentProcessId","uint")
 hwnd:=WinExist("ahk_pid " . pid)
 ; 0x42 = GMEM_MOVEABLE(0x2) | GMEM_ZEROINIT(0x40)
 hPath := DllCall("GlobalAlloc","uint",0x42,"uint",20 + (PathLength + FileCount + 1) * 2,"UPtr")
 pPath := DllCall("GlobalLock","UPtr",hPath)
 NumPut(20,pPath+0),pPath += 16 ; DROPFILES.pFiles = offset of file list
 NumPut(1,pPath+0),pPath += 4 ; fWide = 0 --&gt;ANSI,fWide = 1 --&gt;Unicode
 Offset:=0
 Loop,Parse,PathToCopy,`n,`r ; Rows are delimited by linefeeds (`r`n).
  offset += StrPut(A_LoopField,pPath+offset,StrLen(A_LoopField)+1,"UTF-16") * 2
 DllCall("GlobalUnlock","UPtr",hPath)
 DllCall("OpenClipboard","UPtr",hwnd)
 DllCall("EmptyClipboard")
 DllCall("SetClipboardData","uint",0xF,"UPtr",hPath) ; 0xF = CF_HDROP
 ; Write Preferred DropEffect structure to clipboard to switch between copy/cut operations
 ; 0x42 = GMEM_MOVEABLE(0x2) | GMEM_ZEROINIT(0x40)
 mem := DllCall("GlobalAlloc","uint",0x42,"uint",4,"UPtr")
 str := DllCall("GlobalLock","UPtr",mem)
 if (Method="copy")
  DllCall("RtlFillMemory","UPtr",str,"uint",1,"UChar",0x05)
 else if (Method="cut")
  DllCall("RtlFillMemory","UPtr",str,"uint",1,"UChar",0x02)
 else
 {
  DllCall("CloseClipboard")
  return
 }
 DllCall("GlobalUnlock","UPtr",mem)
 cfFormat := DllCall("RegisterClipboardFormat","Str","Preferred DropEffect")
 DllCall("SetClipboardData","uint",cfFormat,"UPtr",mem)
 DllCall("CloseClipboard")
 return
}
GetFullPath(fpath)
{
 Loop, %fpath%
  Return, A_LoopFileLongPath
}</t>
  </si>
  <si>
    <t>无参数</t>
  </si>
  <si>
    <t>微信消息加指定文件核心</t>
  </si>
  <si>
    <t>FileToClipboard("参数12")
WinShow,微信 ahk_class WeChatMainWndForPC
WinActivate,微信 ahk_class WeChatMainWndForPC
Sleep,300
Send ^f
Sleep,200
Send {text} 参数04
Sleep,1500
OutputDebug, "找到"
Send {Enter}
OutputDebug, "进入"
Sleep 1000
OutputDebug,  "粘贴"
Send ^v
Sleep 1000
Send {Enter}
Sleep 2000</t>
  </si>
  <si>
    <t>vbs</t>
  </si>
  <si>
    <t>rem  ---------参数01---------
CreateObject("Wscript.Shell")
set ws=wscript.createobject("wscript.shell")
ws.appactivate "QQ"
ws.run "tencent://message/?uin=参数04&amp;Site=LG&amp;Menu=yes"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</si>
  <si>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QQ复制文件到聊天窗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</si>
  <si>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</si>
  <si>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参数04：发送QQ号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</si>
  <si>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</si>
  <si>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</si>
  <si>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wscript.sleep 1500
ws.sendkeys "{enter}"
wscript.sleep 3000
Set ws= Nothing
Set ws2= Nothing
Set wss= Nothing
</t>
  </si>
  <si>
    <t>QQ弹窗才发送消息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</si>
  <si>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ws= Nothing
Set ws2= Nothing
Set wss= Nothing
</t>
  </si>
  <si>
    <t>微信发消息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</si>
  <si>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t>
  </si>
  <si>
    <t>参数03：微信的名称，参数11：要发送的消息</t>
  </si>
  <si>
    <t>邮件</t>
  </si>
  <si>
    <t xml:space="preserve">rem ----------------参数01----------------------
If Send_Mail("参数64","参数65","参数05","","参数11","参数12","参数13")=True Then 
Wscript.Echo "参数01" &amp; "发送成功" 
Else 
Wscript.Echo "参数01" &amp; "发送失败" 
End If 
</t>
  </si>
  <si>
    <t>参数64：邮箱，参数65：密码，参数12：邮箱，参数13：内容，参数14：附件的地址</t>
  </si>
  <si>
    <t>GSM Modem发短信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</si>
  <si>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</si>
  <si>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这个要先构建服务器才能发送。
参数67:服务器的地址，参数68：用户名，参数69：密码，参数02：手机号，参数11：要发送的消息，不能有空格和回车。</t>
  </si>
  <si>
    <t>QQ粘贴文件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</si>
  <si>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wscript.sleep 1500
wss.sendkeys "{enter}"
wscript.sleep 3000
Set ws= Nothing
Set ws2= Nothing
Set wss= Nothing
</t>
  </si>
  <si>
    <t>QQ发送指定文件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</si>
  <si>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</si>
  <si>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参数04：发送QQ号，参数15：文件的路径</t>
  </si>
  <si>
    <t>微信粘贴文件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</si>
  <si>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500
ws.sendKeys "^v"
wscript.sleep 300
ws.sendKeys "{ENTER}"
Set ws= Nothing</t>
  </si>
  <si>
    <t>参数03：微信的名称，这个要先复制文件</t>
  </si>
  <si>
    <t>QQ复制消息到聊天窗2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</si>
  <si>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Set ws= Nothing
Set ws2= Nothing
Set wss= Nothing
</t>
  </si>
  <si>
    <t xml:space="preserve">旺旺未测试 </t>
  </si>
  <si>
    <t>rem  ---------参数01---------
CreateObject("Wscript.Shell")
set ws=wscript.createobject("wscript.shell")
ws.run "https://amos.alicdn.com/getcid.aw?spm=a360q.8274423.0.0.71584c9a1M9Qng&amp;v=3&amp;groupid=0&amp;s=1&amp;charset=utf-8&amp;uid=参数1&amp;site=cnalichn&amp;fromid=cnalichn旺旺账号"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</si>
  <si>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旺旺</t>
  </si>
  <si>
    <t>系统</t>
  </si>
  <si>
    <t>bat</t>
  </si>
  <si>
    <t>复制文件</t>
  </si>
  <si>
    <t>mkdir "参数07参数08"
copy "参数12" "参数10" /y</t>
  </si>
  <si>
    <t>参数07：文件根目录，参数08：文件相对路径；参数10：最终的绝对路径；参数12：旧文件的绝对路径</t>
  </si>
  <si>
    <t>无参数 pause</t>
  </si>
  <si>
    <t>ping</t>
  </si>
  <si>
    <t>ping 参数11</t>
  </si>
  <si>
    <t>参数11：要ping的网址</t>
  </si>
  <si>
    <t>二维码</t>
  </si>
  <si>
    <t>Zint二维码(bat)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</si>
  <si>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</si>
  <si>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参数11：字符串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</si>
  <si>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</si>
  <si>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</si>
  <si>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参数12：要生成的字符串</t>
  </si>
  <si>
    <t>Zint条形码128</t>
  </si>
  <si>
    <t xml:space="preserve">rem 参数11
set nowpath=%~dp0
set notepad2path=%nowpath%辅助文件夹\notepad2\notepad2.exe
set zint=%nowpath%辅助文件夹\zint二维码生成\zint.exe
set genpath=%nowpath%生成文件夹
%zint% -o %genpath%\参数12.png -b 20 -d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</si>
  <si>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</si>
  <si>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</si>
  <si>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py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</si>
  <si>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</si>
  <si>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</si>
  <si>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</si>
  <si>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</si>
  <si>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</si>
  <si>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</si>
  <si>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</si>
  <si>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</si>
  <si>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</si>
  <si>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r>
      <t>黄牛6</t>
    </r>
    <r>
      <rPr>
        <sz val="11"/>
        <color theme="1"/>
        <rFont val="宋体"/>
        <family val="3"/>
        <charset val="134"/>
        <scheme val="minor"/>
      </rPr>
      <t>700</t>
    </r>
    <phoneticPr fontId="16" type="noConversion"/>
  </si>
  <si>
    <t>老黄牛小号</t>
    <phoneticPr fontId="16" type="noConversion"/>
  </si>
  <si>
    <t>微信消息加指定文件核心</t>
    <phoneticPr fontId="16" type="noConversion"/>
  </si>
  <si>
    <r>
      <t>FileToClipboard("参数12")
WinShow,微信 ahk_class WeChatMainWndForPC
WinActivate,微信 ahk_class WeChatMainWndForPC
Sleep,</t>
    </r>
    <r>
      <rPr>
        <sz val="11"/>
        <color theme="1"/>
        <rFont val="宋体"/>
        <family val="3"/>
        <charset val="134"/>
        <scheme val="minor"/>
      </rPr>
      <t>1000</t>
    </r>
    <r>
      <rPr>
        <sz val="11"/>
        <color theme="1"/>
        <rFont val="宋体"/>
        <charset val="134"/>
        <scheme val="minor"/>
      </rPr>
      <t xml:space="preserve">
Send ^f
Sleep,</t>
    </r>
    <r>
      <rPr>
        <sz val="11"/>
        <color theme="1"/>
        <rFont val="宋体"/>
        <family val="3"/>
        <charset val="134"/>
        <scheme val="minor"/>
      </rPr>
      <t>1000</t>
    </r>
    <r>
      <rPr>
        <sz val="11"/>
        <color theme="1"/>
        <rFont val="宋体"/>
        <charset val="134"/>
        <scheme val="minor"/>
      </rPr>
      <t xml:space="preserve">
Send {text} 参数04
Sleep,1500
OutputDebug, "找到"
Send {Enter}
OutputDebug, "进入"
Sleep 1000
OutputDebug,  "粘贴"
Send ^v
Sleep 1000
Send {Enter}
Sleep 2000
SendInput % "{TEXT}" . "参数11"
Sleep % 500
SendInput % "{TEXT}" . ""
Sleep % 100
Send {Enter}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</si>
</sst>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宋体"/>
      <charset val="134"/>
      <scheme val="minor"/>
    </font>
    <font>
      <b/>
      <sz val="11"/>
      <color theme="3" tint="0.39951780755027927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Arial Unicode MS"/>
      <charset val="134"/>
    </font>
    <font>
      <sz val="11"/>
      <color rgb="FF333333"/>
      <name val="Arial"/>
      <family val="2"/>
    </font>
    <font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rgb="FF333333"/>
      <name val="宋体"/>
      <charset val="134"/>
    </font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73754081850645"/>
        <bgColor indexed="64"/>
      </patternFill>
    </fill>
    <fill>
      <patternFill patternType="solid">
        <fgColor theme="3" tint="0.79979857783745845"/>
        <bgColor indexed="64"/>
      </patternFill>
    </fill>
    <fill>
      <patternFill patternType="solid">
        <fgColor theme="3" tint="0.79970702230903046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1" fillId="0" borderId="0">
      <alignment vertical="center"/>
    </xf>
    <xf numFmtId="0" fontId="11" fillId="0" borderId="0"/>
    <xf numFmtId="0" fontId="11" fillId="0" borderId="0">
      <alignment vertical="center"/>
    </xf>
    <xf numFmtId="0" fontId="3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Font="1"/>
    <xf numFmtId="0" fontId="0" fillId="0" borderId="0" xfId="0" applyAlignment="1">
      <alignment wrapText="1"/>
    </xf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" applyFill="1"/>
    <xf numFmtId="0" fontId="0" fillId="0" borderId="0" xfId="0" applyNumberFormat="1" applyAlignment="1">
      <alignment horizontal="center" vertical="center" shrinkToFit="1"/>
    </xf>
    <xf numFmtId="0" fontId="4" fillId="0" borderId="5" xfId="0" applyNumberFormat="1" applyFont="1" applyBorder="1" applyAlignment="1" applyProtection="1">
      <alignment horizontal="center" vertical="center" shrinkToFit="1"/>
    </xf>
    <xf numFmtId="0" fontId="0" fillId="0" borderId="5" xfId="0" applyNumberFormat="1" applyBorder="1" applyAlignment="1" applyProtection="1">
      <alignment horizontal="center" vertical="center" shrinkToFit="1"/>
    </xf>
    <xf numFmtId="0" fontId="3" fillId="0" borderId="5" xfId="1" applyNumberFormat="1" applyBorder="1" applyAlignment="1" applyProtection="1">
      <alignment horizontal="center" vertical="center" shrinkToFit="1"/>
    </xf>
    <xf numFmtId="0" fontId="0" fillId="0" borderId="0" xfId="0" applyNumberFormat="1" applyFont="1" applyAlignment="1">
      <alignment horizontal="center" vertical="center" shrinkToFit="1"/>
    </xf>
    <xf numFmtId="0" fontId="3" fillId="0" borderId="0" xfId="1" applyNumberFormat="1" applyAlignment="1">
      <alignment horizontal="center" vertical="center" shrinkToFit="1"/>
    </xf>
    <xf numFmtId="0" fontId="4" fillId="0" borderId="0" xfId="0" applyNumberFormat="1" applyFont="1" applyBorder="1" applyAlignment="1" applyProtection="1">
      <alignment horizontal="center" vertical="center" shrinkToFit="1"/>
    </xf>
    <xf numFmtId="0" fontId="0" fillId="0" borderId="0" xfId="0" applyNumberFormat="1" applyAlignment="1" applyProtection="1">
      <alignment horizontal="center" vertical="center" shrinkToFit="1"/>
    </xf>
    <xf numFmtId="0" fontId="4" fillId="0" borderId="0" xfId="0" applyNumberFormat="1" applyFont="1" applyAlignment="1" applyProtection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horizontal="right"/>
    </xf>
    <xf numFmtId="0" fontId="0" fillId="4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 shrinkToFit="1"/>
    </xf>
    <xf numFmtId="0" fontId="0" fillId="0" borderId="0" xfId="0" applyFont="1" applyFill="1" applyAlignment="1">
      <alignment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shrinkToFit="1"/>
    </xf>
    <xf numFmtId="0" fontId="7" fillId="3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 vertical="center" shrinkToFit="1"/>
    </xf>
    <xf numFmtId="0" fontId="8" fillId="0" borderId="0" xfId="0" applyFont="1" applyFill="1" applyBorder="1" applyAlignment="1">
      <alignment vertical="center" wrapText="1"/>
    </xf>
    <xf numFmtId="0" fontId="0" fillId="4" borderId="0" xfId="0" applyFont="1" applyFill="1" applyBorder="1" applyAlignment="1">
      <alignment horizontal="right"/>
    </xf>
    <xf numFmtId="0" fontId="0" fillId="4" borderId="0" xfId="0" applyFont="1" applyFill="1" applyBorder="1" applyAlignment="1">
      <alignment horizontal="right" shrinkToFit="1"/>
    </xf>
    <xf numFmtId="0" fontId="0" fillId="4" borderId="0" xfId="0" applyFont="1" applyFill="1" applyBorder="1" applyAlignment="1">
      <alignment vertical="center" shrinkToFit="1"/>
    </xf>
    <xf numFmtId="0" fontId="0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6" fillId="0" borderId="0" xfId="0" applyFont="1" applyFill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 shrinkToFit="1"/>
    </xf>
    <xf numFmtId="0" fontId="9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horizontal="right" shrinkToFit="1"/>
    </xf>
    <xf numFmtId="0" fontId="6" fillId="4" borderId="0" xfId="0" applyFont="1" applyFill="1" applyBorder="1" applyAlignment="1">
      <alignment vertical="center" shrinkToFit="1"/>
    </xf>
    <xf numFmtId="0" fontId="0" fillId="5" borderId="0" xfId="0" applyFont="1" applyFill="1" applyBorder="1" applyAlignment="1">
      <alignment vertical="center" shrinkToFit="1"/>
    </xf>
    <xf numFmtId="0" fontId="3" fillId="0" borderId="0" xfId="1" applyFill="1" applyBorder="1" applyAlignment="1">
      <alignment vertical="center" shrinkToFit="1"/>
    </xf>
    <xf numFmtId="14" fontId="0" fillId="0" borderId="0" xfId="0" applyNumberFormat="1" applyFill="1" applyBorder="1" applyAlignment="1">
      <alignment vertical="center" shrinkToFit="1"/>
    </xf>
    <xf numFmtId="0" fontId="0" fillId="6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vertical="top" wrapText="1"/>
    </xf>
    <xf numFmtId="0" fontId="0" fillId="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vertical="center"/>
    </xf>
    <xf numFmtId="0" fontId="10" fillId="0" borderId="0" xfId="0" applyFont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 wrapText="1" shrinkToFit="1"/>
    </xf>
    <xf numFmtId="0" fontId="0" fillId="6" borderId="0" xfId="0" applyFont="1" applyFill="1" applyBorder="1" applyAlignment="1">
      <alignment vertical="center" shrinkToFit="1"/>
    </xf>
    <xf numFmtId="0" fontId="0" fillId="6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0" fillId="0" borderId="5" xfId="0" quotePrefix="1" applyNumberFormat="1" applyBorder="1" applyAlignment="1" applyProtection="1">
      <alignment horizontal="center" vertical="center" shrinkToFit="1"/>
    </xf>
    <xf numFmtId="0" fontId="0" fillId="0" borderId="0" xfId="0" quotePrefix="1"/>
    <xf numFmtId="0" fontId="7" fillId="0" borderId="0" xfId="0" applyFont="1" applyFill="1" applyAlignment="1">
      <alignment horizontal="left" vertical="center" wrapText="1"/>
    </xf>
    <xf numFmtId="0" fontId="13" fillId="0" borderId="0" xfId="0" applyFont="1" applyFill="1" applyBorder="1" applyAlignment="1">
      <alignment vertical="center"/>
    </xf>
    <xf numFmtId="0" fontId="13" fillId="0" borderId="0" xfId="0" applyFont="1" applyAlignment="1">
      <alignment wrapText="1"/>
    </xf>
  </cellXfs>
  <cellStyles count="6">
    <cellStyle name="常规" xfId="0" builtinId="0"/>
    <cellStyle name="常规 2" xfId="3"/>
    <cellStyle name="常规 3" xfId="4"/>
    <cellStyle name="常规 3 2" xfId="2"/>
    <cellStyle name="超链接" xfId="1" builtinId="8"/>
    <cellStyle name="超链接 2" xfId="5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9525</xdr:rowOff>
        </xdr:from>
        <xdr:to>
          <xdr:col>7</xdr:col>
          <xdr:colOff>38100</xdr:colOff>
          <xdr:row>0</xdr:row>
          <xdr:rowOff>409575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执行所在行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0</xdr:rowOff>
        </xdr:from>
        <xdr:to>
          <xdr:col>10</xdr:col>
          <xdr:colOff>1543050</xdr:colOff>
          <xdr:row>0</xdr:row>
          <xdr:rowOff>419100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批量执行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0</xdr:rowOff>
        </xdr:from>
        <xdr:to>
          <xdr:col>12</xdr:col>
          <xdr:colOff>733425</xdr:colOff>
          <xdr:row>0</xdr:row>
          <xdr:rowOff>371475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0</xdr:rowOff>
        </xdr:from>
        <xdr:to>
          <xdr:col>5</xdr:col>
          <xdr:colOff>161925</xdr:colOff>
          <xdr:row>0</xdr:row>
          <xdr:rowOff>419100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打开所在行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0</xdr:rowOff>
        </xdr:from>
        <xdr:to>
          <xdr:col>10</xdr:col>
          <xdr:colOff>219075</xdr:colOff>
          <xdr:row>0</xdr:row>
          <xdr:rowOff>419100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批量打开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0</xdr:row>
          <xdr:rowOff>0</xdr:rowOff>
        </xdr:from>
        <xdr:to>
          <xdr:col>9</xdr:col>
          <xdr:colOff>200025</xdr:colOff>
          <xdr:row>18</xdr:row>
          <xdr:rowOff>457200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执行单元格所在行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180975</xdr:colOff>
          <xdr:row>0</xdr:row>
          <xdr:rowOff>0</xdr:rowOff>
        </xdr:from>
        <xdr:to>
          <xdr:col>7</xdr:col>
          <xdr:colOff>381000</xdr:colOff>
          <xdr:row>18</xdr:row>
          <xdr:rowOff>457200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打开所在行脚本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18</xdr:row>
          <xdr:rowOff>9525</xdr:rowOff>
        </xdr:from>
        <xdr:to>
          <xdr:col>10</xdr:col>
          <xdr:colOff>647700</xdr:colOff>
          <xdr:row>18</xdr:row>
          <xdr:rowOff>457200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批量打开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771525</xdr:colOff>
          <xdr:row>18</xdr:row>
          <xdr:rowOff>9525</xdr:rowOff>
        </xdr:from>
        <xdr:to>
          <xdr:col>11</xdr:col>
          <xdr:colOff>733425</xdr:colOff>
          <xdr:row>18</xdr:row>
          <xdr:rowOff>457200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批量执行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762000</xdr:colOff>
          <xdr:row>18</xdr:row>
          <xdr:rowOff>9525</xdr:rowOff>
        </xdr:from>
        <xdr:to>
          <xdr:col>11</xdr:col>
          <xdr:colOff>1657350</xdr:colOff>
          <xdr:row>18</xdr:row>
          <xdr:rowOff>438150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0</xdr:row>
          <xdr:rowOff>0</xdr:rowOff>
        </xdr:from>
        <xdr:to>
          <xdr:col>13</xdr:col>
          <xdr:colOff>381000</xdr:colOff>
          <xdr:row>18</xdr:row>
          <xdr:rowOff>457200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获取文件列表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5209;&#37327;&#21457;&#28040;&#24687;/18.&#35843;&#29992;&#33050;&#26412;&#25191;&#34892;/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常用代码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ExternalData_1_2" adjustColumnWidth="0" connectionId="1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2.xml><?xml version="1.0" encoding="utf-8"?>
<queryTable xmlns="http://schemas.openxmlformats.org/spreadsheetml/2006/main" name="ExternalData_1000" adjustColumnWidth="0" connectionId="4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3.xml><?xml version="1.0" encoding="utf-8"?>
<queryTable xmlns="http://schemas.openxmlformats.org/spreadsheetml/2006/main" name="ExternalData_990" adjustColumnWidth="0" connectionId="7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4.xml><?xml version="1.0" encoding="utf-8"?>
<queryTable xmlns="http://schemas.openxmlformats.org/spreadsheetml/2006/main" name="ExternalData_998" adjustColumnWidth="0" connectionId="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5.xml><?xml version="1.0" encoding="utf-8"?>
<queryTable xmlns="http://schemas.openxmlformats.org/spreadsheetml/2006/main" name="ExternalData_1017" adjustColumnWidt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6.xml><?xml version="1.0" encoding="utf-8"?>
<queryTable xmlns="http://schemas.openxmlformats.org/spreadsheetml/2006/main" name="ExternalData_1016" adjustColumnWidth="0" connectionId="5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7.xml><?xml version="1.0" encoding="utf-8"?>
<queryTable xmlns="http://schemas.openxmlformats.org/spreadsheetml/2006/main" name="ExternalData_1014" adjustColumnWidth="0" connectionId="3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hyperlink" Target="mailto:222222@qq.com" TargetMode="External"/><Relationship Id="rId1" Type="http://schemas.openxmlformats.org/officeDocument/2006/relationships/hyperlink" Target="mailto:111111@qq.com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353"/>
  <sheetViews>
    <sheetView zoomScale="85" zoomScaleNormal="85" workbookViewId="0">
      <selection activeCell="A21" sqref="A21:A22"/>
    </sheetView>
  </sheetViews>
  <sheetFormatPr defaultColWidth="9" defaultRowHeight="13.5" x14ac:dyDescent="0.15"/>
  <cols>
    <col min="1" max="1" width="12.25" style="59" customWidth="1"/>
    <col min="2" max="2" width="12.625" style="32" customWidth="1"/>
    <col min="3" max="3" width="6.25" style="32" customWidth="1"/>
    <col min="4" max="4" width="7.5" style="32" customWidth="1"/>
    <col min="5" max="5" width="10.5" style="32" customWidth="1"/>
    <col min="6" max="6" width="7.5" style="32" customWidth="1"/>
    <col min="7" max="7" width="7" style="32" customWidth="1"/>
    <col min="8" max="10" width="4.875" style="32" customWidth="1"/>
    <col min="11" max="11" width="39.375" style="28" customWidth="1"/>
    <col min="12" max="12" width="3.875" style="28" customWidth="1"/>
    <col min="13" max="13" width="38.25" style="28" customWidth="1"/>
    <col min="14" max="18" width="9" style="28"/>
    <col min="19" max="16384" width="9" style="32"/>
  </cols>
  <sheetData>
    <row r="1" spans="1:18" ht="37.5" customHeight="1" x14ac:dyDescent="0.15">
      <c r="A1" s="60" t="s">
        <v>0</v>
      </c>
      <c r="B1" s="32" t="str">
        <f>"脚本"&amp;"."&amp;INDEX(常用代码!B:B,MATCH(A1,常用代码!C:C,0))</f>
        <v>脚本.ahk</v>
      </c>
    </row>
    <row r="2" spans="1:18" s="29" customFormat="1" ht="39.950000000000003" customHeight="1" x14ac:dyDescent="0.15">
      <c r="A2" s="74" t="str">
        <f>IF(ISERROR(VLOOKUP(A1,常用代码!C:H,4,FALSE)&amp;""),"",VLOOKUP(A1,常用代码!C:H,4,FALSE)&amp;"")</f>
        <v>参数07：钉钉的姓名，参数11：要发送的消息</v>
      </c>
      <c r="B2" s="74"/>
      <c r="C2" s="74"/>
      <c r="D2" s="74"/>
      <c r="E2" s="74"/>
      <c r="F2" s="74"/>
      <c r="G2" s="74"/>
      <c r="H2" s="74"/>
      <c r="I2" s="74"/>
      <c r="J2" s="74"/>
      <c r="K2" s="67"/>
      <c r="L2" s="67"/>
      <c r="M2" s="67"/>
      <c r="N2" s="50"/>
      <c r="O2" s="50"/>
      <c r="P2" s="50"/>
      <c r="Q2" s="50"/>
      <c r="R2" s="50"/>
    </row>
    <row r="3" spans="1:18" hidden="1" x14ac:dyDescent="0.15">
      <c r="A3" s="59" t="s">
        <v>0</v>
      </c>
      <c r="B3" s="32" t="str">
        <f>IF(ISERROR(VLOOKUP(A3,常用代码!C:E,2,FALSE)),"",VLOOKUP(A3,常用代码!C:E,2,FALSE))</f>
        <v xml:space="preserve">CoordMode, Mouse, Screen
if (x1 &gt; 0) {
}else{
  msgbox % "因技术限制，此操作需要手动操作。"
}
TrayTip,,% "请在3秒内将光标移动到搜索框。"
mousemove,x1, y1 
Sleep % 3000
MouseGetPos, x1, y1 
Send, {LButton}
Send, {Backspace 9}
Sleep % 300
SendInput % "{TEXT}" . "参数07"
Sleep % 2500
Send, {Enter}
Sleep % 500
Send, {Backspace 99}
Sleep % 1000
SendInput % "{TEXT}" . "参数11"
Sleep % 500
SendInput % "{TEXT}" . ""
Sleep % 3000
Send, {Enter}
</v>
      </c>
    </row>
    <row r="4" spans="1:18" hidden="1" x14ac:dyDescent="0.15"/>
    <row r="5" spans="1:18" hidden="1" x14ac:dyDescent="0.15"/>
    <row r="6" spans="1:18" hidden="1" x14ac:dyDescent="0.15"/>
    <row r="7" spans="1:18" hidden="1" x14ac:dyDescent="0.15"/>
    <row r="8" spans="1:18" hidden="1" x14ac:dyDescent="0.15"/>
    <row r="9" spans="1:18" hidden="1" x14ac:dyDescent="0.15"/>
    <row r="10" spans="1:18" hidden="1" x14ac:dyDescent="0.15"/>
    <row r="11" spans="1:18" hidden="1" x14ac:dyDescent="0.15"/>
    <row r="12" spans="1:18" hidden="1" x14ac:dyDescent="0.15"/>
    <row r="13" spans="1:18" hidden="1" x14ac:dyDescent="0.15"/>
    <row r="14" spans="1:18" hidden="1" x14ac:dyDescent="0.15"/>
    <row r="15" spans="1:18" hidden="1" x14ac:dyDescent="0.15"/>
    <row r="16" spans="1:18" hidden="1" x14ac:dyDescent="0.15"/>
    <row r="17" spans="1:18" hidden="1" x14ac:dyDescent="0.15"/>
    <row r="18" spans="1:18" ht="70.900000000000006" hidden="1" customHeight="1" x14ac:dyDescent="0.15">
      <c r="A18" s="60"/>
      <c r="B18" s="61"/>
      <c r="C18" s="61"/>
      <c r="D18" s="61"/>
    </row>
    <row r="19" spans="1:18" s="58" customFormat="1" ht="16.899999999999999" customHeight="1" x14ac:dyDescent="0.15">
      <c r="A19" s="62" t="s">
        <v>1</v>
      </c>
      <c r="B19" s="63" t="s">
        <v>2</v>
      </c>
      <c r="C19" s="63" t="s">
        <v>3</v>
      </c>
      <c r="D19" s="63" t="s">
        <v>4</v>
      </c>
      <c r="E19" s="63" t="s">
        <v>5</v>
      </c>
      <c r="F19" s="63" t="s">
        <v>6</v>
      </c>
      <c r="G19" s="63" t="s">
        <v>7</v>
      </c>
      <c r="H19" s="63" t="s">
        <v>8</v>
      </c>
      <c r="I19" s="63" t="s">
        <v>9</v>
      </c>
      <c r="J19" s="63" t="s">
        <v>10</v>
      </c>
      <c r="K19" s="68" t="s">
        <v>11</v>
      </c>
      <c r="L19" s="68" t="s">
        <v>12</v>
      </c>
      <c r="M19" s="68" t="s">
        <v>13</v>
      </c>
      <c r="N19" s="68" t="s">
        <v>14</v>
      </c>
      <c r="O19" s="68" t="s">
        <v>15</v>
      </c>
      <c r="P19" s="69"/>
      <c r="Q19" s="69"/>
      <c r="R19" s="69"/>
    </row>
    <row r="20" spans="1:18" s="58" customFormat="1" ht="16.899999999999999" customHeight="1" x14ac:dyDescent="0.15">
      <c r="A20" s="62" t="s">
        <v>16</v>
      </c>
      <c r="B20" s="58" t="s">
        <v>17</v>
      </c>
      <c r="C20" s="63" t="s">
        <v>18</v>
      </c>
      <c r="D20" s="58" t="s">
        <v>19</v>
      </c>
      <c r="E20" s="63" t="s">
        <v>20</v>
      </c>
      <c r="F20" s="58" t="s">
        <v>21</v>
      </c>
      <c r="G20" s="63" t="s">
        <v>22</v>
      </c>
      <c r="K20" s="69" t="s">
        <v>23</v>
      </c>
      <c r="L20" s="69"/>
      <c r="M20" s="69"/>
      <c r="N20" s="69"/>
      <c r="O20" s="69"/>
      <c r="P20" s="69"/>
      <c r="Q20" s="69"/>
      <c r="R20" s="69"/>
    </row>
    <row r="21" spans="1:18" s="29" customFormat="1" ht="22.5" x14ac:dyDescent="0.15">
      <c r="A21" s="64" t="s">
        <v>24</v>
      </c>
      <c r="B21" s="41" t="str">
        <f>IF(ISERROR(VLOOKUP($A21,通讯录!$A:$M,3,FALSE)&amp;""),"",VLOOKUP($A21,通讯录!$A:$M,3,FALSE)&amp;"")</f>
        <v>13012345679</v>
      </c>
      <c r="C21" s="41" t="str">
        <f>IF(ISERROR(VLOOKUP($A21,通讯录!$A:$M,7,FALSE)&amp;""),"",VLOOKUP($A21,通讯录!$A:$M,7,FALSE)&amp;"")</f>
        <v>老黄牛</v>
      </c>
      <c r="D21" s="41" t="str">
        <f>IF(ISERROR(VLOOKUP($A21,通讯录!$A:$M,5,FALSE)&amp;""),"",VLOOKUP($A21,通讯录!$A:$M,5,FALSE)&amp;"")</f>
        <v>1601366781</v>
      </c>
      <c r="E21" s="41" t="str">
        <f>IF(ISERROR(VLOOKUP($A21,通讯录!$A:$M,6,FALSE)&amp;""),"",VLOOKUP($A21,通讯录!$A:$M,6,FALSE)&amp;"")</f>
        <v>222222@qq.com</v>
      </c>
      <c r="F21" s="41" t="str">
        <f>IF(ISERROR(VLOOKUP($A21,通讯录!$A:$M,4,FALSE)&amp;""),"",VLOOKUP($A21,通讯录!$A:$M,4,FALSE)&amp;"")</f>
        <v/>
      </c>
      <c r="G21" s="41" t="str">
        <f>IF(ISERROR(VLOOKUP($A21,通讯录!$A:$M,8,FALSE)&amp;""),"",VLOOKUP($A21,通讯录!$A:$M,8,FALSE)&amp;"")</f>
        <v>老黄牛</v>
      </c>
      <c r="H21" s="41"/>
      <c r="I21" s="41"/>
      <c r="J21" s="41"/>
      <c r="K21" s="67" t="s">
        <v>25</v>
      </c>
      <c r="L21" s="50"/>
      <c r="M21" s="70"/>
      <c r="N21" s="50"/>
      <c r="O21" s="70"/>
      <c r="P21" s="50"/>
      <c r="Q21" s="50"/>
      <c r="R21" s="50"/>
    </row>
    <row r="22" spans="1:18" s="29" customFormat="1" ht="22.5" x14ac:dyDescent="0.15">
      <c r="A22" s="65" t="s">
        <v>26</v>
      </c>
      <c r="B22" s="41" t="str">
        <f>IF(ISERROR(VLOOKUP($A22,通讯录!$A:$M,3,FALSE)&amp;""),"",VLOOKUP($A22,通讯录!$A:$M,3,FALSE)&amp;"")</f>
        <v>13012345679</v>
      </c>
      <c r="C22" s="41" t="str">
        <f>IF(ISERROR(VLOOKUP($A22,通讯录!$A:$M,7,FALSE)&amp;""),"",VLOOKUP($A22,通讯录!$A:$M,7,FALSE)&amp;"")</f>
        <v>小黄牛</v>
      </c>
      <c r="D22" s="41" t="str">
        <f>IF(ISERROR(VLOOKUP($A22,通讯录!$A:$M,5,FALSE)&amp;""),"",VLOOKUP($A22,通讯录!$A:$M,5,FALSE)&amp;"")</f>
        <v>2278891090</v>
      </c>
      <c r="E22" s="41" t="str">
        <f>IF(ISERROR(VLOOKUP($A22,通讯录!$A:$M,6,FALSE)&amp;""),"",VLOOKUP($A22,通讯录!$A:$M,6,FALSE)&amp;"")</f>
        <v>111111@qq.com</v>
      </c>
      <c r="F22" s="41" t="str">
        <f>IF(ISERROR(VLOOKUP($A22,通讯录!$A:$M,4,FALSE)&amp;""),"",VLOOKUP($A22,通讯录!$A:$M,4,FALSE)&amp;"")</f>
        <v/>
      </c>
      <c r="G22" s="41" t="str">
        <f>IF(ISERROR(VLOOKUP($A22,通讯录!$A:$M,8,FALSE)&amp;""),"",VLOOKUP($A22,通讯录!$A:$M,8,FALSE)&amp;"")</f>
        <v>小黄牛</v>
      </c>
      <c r="H22" s="41"/>
      <c r="I22" s="41"/>
      <c r="J22" s="41"/>
      <c r="K22" s="67" t="s">
        <v>27</v>
      </c>
      <c r="L22" s="50"/>
      <c r="M22" s="70"/>
      <c r="N22" s="50"/>
      <c r="O22" s="70"/>
      <c r="P22" s="50"/>
      <c r="Q22" s="50"/>
      <c r="R22" s="50"/>
    </row>
    <row r="23" spans="1:18" s="29" customFormat="1" x14ac:dyDescent="0.15">
      <c r="A23" s="65"/>
      <c r="B23" s="41" t="str">
        <f>IF(ISERROR(VLOOKUP($A23,通讯录!$A:$M,3,FALSE)&amp;""),"",VLOOKUP($A23,通讯录!$A:$M,3,FALSE)&amp;"")</f>
        <v/>
      </c>
      <c r="C23" s="41" t="str">
        <f>IF(ISERROR(VLOOKUP($A23,通讯录!$A:$M,7,FALSE)&amp;""),"",VLOOKUP($A23,通讯录!$A:$M,7,FALSE)&amp;"")</f>
        <v/>
      </c>
      <c r="D23" s="41" t="str">
        <f>IF(ISERROR(VLOOKUP($A23,通讯录!$A:$M,5,FALSE)&amp;""),"",VLOOKUP($A23,通讯录!$A:$M,5,FALSE)&amp;"")</f>
        <v/>
      </c>
      <c r="E23" s="41" t="str">
        <f>IF(ISERROR(VLOOKUP($A23,通讯录!$A:$M,6,FALSE)&amp;""),"",VLOOKUP($A23,通讯录!$A:$M,6,FALSE)&amp;"")</f>
        <v/>
      </c>
      <c r="F23" s="41" t="str">
        <f>IF(ISERROR(VLOOKUP($A23,通讯录!$A:$M,4,FALSE)&amp;""),"",VLOOKUP($A23,通讯录!$A:$M,4,FALSE)&amp;"")</f>
        <v/>
      </c>
      <c r="G23" s="41" t="str">
        <f>IF(ISERROR(VLOOKUP($A23,通讯录!$A:$M,8,FALSE)&amp;""),"",VLOOKUP($A23,通讯录!$A:$M,8,FALSE)&amp;"")</f>
        <v/>
      </c>
      <c r="H23" s="41"/>
      <c r="I23" s="41"/>
      <c r="J23" s="41"/>
      <c r="K23" s="67"/>
      <c r="L23" s="50"/>
      <c r="M23" s="70"/>
      <c r="N23" s="50"/>
      <c r="O23" s="50"/>
      <c r="P23" s="50"/>
      <c r="Q23" s="50"/>
      <c r="R23" s="50"/>
    </row>
    <row r="24" spans="1:18" s="29" customFormat="1" x14ac:dyDescent="0.15">
      <c r="A24" s="65"/>
      <c r="B24" s="41" t="str">
        <f>IF(ISERROR(VLOOKUP($A24,通讯录!$A:$M,3,FALSE)&amp;""),"",VLOOKUP($A24,通讯录!$A:$M,3,FALSE)&amp;"")</f>
        <v/>
      </c>
      <c r="C24" s="41" t="str">
        <f>IF(ISERROR(VLOOKUP($A24,通讯录!$A:$M,7,FALSE)&amp;""),"",VLOOKUP($A24,通讯录!$A:$M,7,FALSE)&amp;"")</f>
        <v/>
      </c>
      <c r="D24" s="41" t="str">
        <f>IF(ISERROR(VLOOKUP($A24,通讯录!$A:$M,5,FALSE)&amp;""),"",VLOOKUP($A24,通讯录!$A:$M,5,FALSE)&amp;"")</f>
        <v/>
      </c>
      <c r="E24" s="41" t="str">
        <f>IF(ISERROR(VLOOKUP($A24,通讯录!$A:$M,6,FALSE)&amp;""),"",VLOOKUP($A24,通讯录!$A:$M,6,FALSE)&amp;"")</f>
        <v/>
      </c>
      <c r="F24" s="41" t="str">
        <f>IF(ISERROR(VLOOKUP($A24,通讯录!$A:$M,4,FALSE)&amp;""),"",VLOOKUP($A24,通讯录!$A:$M,4,FALSE)&amp;"")</f>
        <v/>
      </c>
      <c r="G24" s="41" t="str">
        <f>IF(ISERROR(VLOOKUP($A24,通讯录!$A:$M,8,FALSE)&amp;""),"",VLOOKUP($A24,通讯录!$A:$M,8,FALSE)&amp;"")</f>
        <v/>
      </c>
      <c r="H24" s="41"/>
      <c r="I24" s="41"/>
      <c r="J24" s="41"/>
      <c r="K24" s="67"/>
      <c r="L24" s="50"/>
      <c r="M24" s="70"/>
      <c r="N24" s="50"/>
      <c r="O24" s="50"/>
      <c r="P24" s="50"/>
      <c r="Q24" s="50"/>
      <c r="R24" s="50"/>
    </row>
    <row r="25" spans="1:18" s="29" customFormat="1" x14ac:dyDescent="0.15">
      <c r="A25" s="65"/>
      <c r="B25" s="41" t="str">
        <f>IF(ISERROR(VLOOKUP($A25,通讯录!$A:$M,3,FALSE)&amp;""),"",VLOOKUP($A25,通讯录!$A:$M,3,FALSE)&amp;"")</f>
        <v/>
      </c>
      <c r="C25" s="41" t="str">
        <f>IF(ISERROR(VLOOKUP($A25,通讯录!$A:$M,7,FALSE)&amp;""),"",VLOOKUP($A25,通讯录!$A:$M,7,FALSE)&amp;"")</f>
        <v/>
      </c>
      <c r="D25" s="41" t="str">
        <f>IF(ISERROR(VLOOKUP($A25,通讯录!$A:$M,5,FALSE)&amp;""),"",VLOOKUP($A25,通讯录!$A:$M,5,FALSE)&amp;"")</f>
        <v/>
      </c>
      <c r="E25" s="41" t="str">
        <f>IF(ISERROR(VLOOKUP($A25,通讯录!$A:$M,6,FALSE)&amp;""),"",VLOOKUP($A25,通讯录!$A:$M,6,FALSE)&amp;"")</f>
        <v/>
      </c>
      <c r="F25" s="41" t="str">
        <f>IF(ISERROR(VLOOKUP($A25,通讯录!$A:$M,4,FALSE)&amp;""),"",VLOOKUP($A25,通讯录!$A:$M,4,FALSE)&amp;"")</f>
        <v/>
      </c>
      <c r="G25" s="41" t="str">
        <f>IF(ISERROR(VLOOKUP($A25,通讯录!$A:$M,8,FALSE)&amp;""),"",VLOOKUP($A25,通讯录!$A:$M,8,FALSE)&amp;"")</f>
        <v/>
      </c>
      <c r="H25" s="41"/>
      <c r="I25" s="41"/>
      <c r="J25" s="41"/>
      <c r="K25" s="67"/>
      <c r="L25" s="50"/>
      <c r="M25" s="70"/>
      <c r="N25" s="50"/>
      <c r="O25" s="50"/>
      <c r="P25" s="50"/>
      <c r="Q25" s="50"/>
      <c r="R25" s="50"/>
    </row>
    <row r="26" spans="1:18" s="29" customFormat="1" x14ac:dyDescent="0.15">
      <c r="A26" s="65"/>
      <c r="B26" s="41" t="str">
        <f>IF(ISERROR(VLOOKUP($A26,通讯录!$A:$M,3,FALSE)&amp;""),"",VLOOKUP($A26,通讯录!$A:$M,3,FALSE)&amp;"")</f>
        <v/>
      </c>
      <c r="C26" s="41" t="str">
        <f>IF(ISERROR(VLOOKUP($A26,通讯录!$A:$M,7,FALSE)&amp;""),"",VLOOKUP($A26,通讯录!$A:$M,7,FALSE)&amp;"")</f>
        <v/>
      </c>
      <c r="D26" s="41" t="str">
        <f>IF(ISERROR(VLOOKUP($A26,通讯录!$A:$M,5,FALSE)&amp;""),"",VLOOKUP($A26,通讯录!$A:$M,5,FALSE)&amp;"")</f>
        <v/>
      </c>
      <c r="E26" s="41" t="str">
        <f>IF(ISERROR(VLOOKUP($A26,通讯录!$A:$M,6,FALSE)&amp;""),"",VLOOKUP($A26,通讯录!$A:$M,6,FALSE)&amp;"")</f>
        <v/>
      </c>
      <c r="F26" s="41" t="str">
        <f>IF(ISERROR(VLOOKUP($A26,通讯录!$A:$M,4,FALSE)&amp;""),"",VLOOKUP($A26,通讯录!$A:$M,4,FALSE)&amp;"")</f>
        <v/>
      </c>
      <c r="G26" s="41" t="str">
        <f>IF(ISERROR(VLOOKUP($A26,通讯录!$A:$M,8,FALSE)&amp;""),"",VLOOKUP($A26,通讯录!$A:$M,8,FALSE)&amp;"")</f>
        <v/>
      </c>
      <c r="H26" s="41"/>
      <c r="I26" s="41"/>
      <c r="J26" s="41"/>
      <c r="K26" s="67"/>
      <c r="L26" s="50"/>
      <c r="M26" s="70"/>
      <c r="N26" s="50"/>
      <c r="O26" s="50"/>
      <c r="P26" s="50"/>
      <c r="Q26" s="50"/>
      <c r="R26" s="50"/>
    </row>
    <row r="27" spans="1:18" s="29" customFormat="1" x14ac:dyDescent="0.15">
      <c r="A27" s="65"/>
      <c r="B27" s="41" t="str">
        <f>IF(ISERROR(VLOOKUP($A27,通讯录!$A:$M,3,FALSE)&amp;""),"",VLOOKUP($A27,通讯录!$A:$M,3,FALSE)&amp;"")</f>
        <v/>
      </c>
      <c r="C27" s="41" t="str">
        <f>IF(ISERROR(VLOOKUP($A27,通讯录!$A:$M,7,FALSE)&amp;""),"",VLOOKUP($A27,通讯录!$A:$M,7,FALSE)&amp;"")</f>
        <v/>
      </c>
      <c r="D27" s="41" t="str">
        <f>IF(ISERROR(VLOOKUP($A27,通讯录!$A:$M,5,FALSE)&amp;""),"",VLOOKUP($A27,通讯录!$A:$M,5,FALSE)&amp;"")</f>
        <v/>
      </c>
      <c r="E27" s="41" t="str">
        <f>IF(ISERROR(VLOOKUP($A27,通讯录!$A:$M,6,FALSE)&amp;""),"",VLOOKUP($A27,通讯录!$A:$M,6,FALSE)&amp;"")</f>
        <v/>
      </c>
      <c r="F27" s="41" t="str">
        <f>IF(ISERROR(VLOOKUP($A27,通讯录!$A:$M,4,FALSE)&amp;""),"",VLOOKUP($A27,通讯录!$A:$M,4,FALSE)&amp;"")</f>
        <v/>
      </c>
      <c r="G27" s="41" t="str">
        <f>IF(ISERROR(VLOOKUP($A27,通讯录!$A:$M,8,FALSE)&amp;""),"",VLOOKUP($A27,通讯录!$A:$M,8,FALSE)&amp;"")</f>
        <v/>
      </c>
      <c r="H27" s="41"/>
      <c r="I27" s="41"/>
      <c r="J27" s="41"/>
      <c r="K27" s="67"/>
      <c r="L27" s="50"/>
      <c r="M27" s="70"/>
      <c r="N27" s="50"/>
      <c r="O27" s="50"/>
      <c r="P27" s="50"/>
      <c r="Q27" s="50"/>
      <c r="R27" s="50"/>
    </row>
    <row r="28" spans="1:18" s="29" customFormat="1" x14ac:dyDescent="0.15">
      <c r="A28" s="65"/>
      <c r="B28" s="41"/>
      <c r="C28" s="41" t="str">
        <f>IF(ISERROR(VLOOKUP($A28,通讯录!$A:$M,7,FALSE)&amp;""),"",VLOOKUP($A28,通讯录!$A:$M,7,FALSE)&amp;"")</f>
        <v/>
      </c>
      <c r="D28" s="41" t="str">
        <f>IF(ISERROR(VLOOKUP($A28,通讯录!$A:$M,5,FALSE)&amp;""),"",VLOOKUP($A28,通讯录!$A:$M,5,FALSE)&amp;"")</f>
        <v/>
      </c>
      <c r="E28" s="41" t="str">
        <f>IF(ISERROR(VLOOKUP($A28,通讯录!$A:$M,6,FALSE)&amp;""),"",VLOOKUP($A28,通讯录!$A:$M,6,FALSE)&amp;"")</f>
        <v/>
      </c>
      <c r="F28" s="41" t="str">
        <f>IF(ISERROR(VLOOKUP($A28,通讯录!$A:$M,4,FALSE)&amp;""),"",VLOOKUP($A28,通讯录!$A:$M,4,FALSE)&amp;"")</f>
        <v/>
      </c>
      <c r="G28" s="41" t="str">
        <f>IF(ISERROR(VLOOKUP($A28,通讯录!$A:$M,8,FALSE)&amp;""),"",VLOOKUP($A28,通讯录!$A:$M,8,FALSE)&amp;"")</f>
        <v/>
      </c>
      <c r="H28" s="41"/>
      <c r="I28" s="41"/>
      <c r="J28" s="41"/>
      <c r="K28" s="67"/>
      <c r="L28" s="50"/>
      <c r="M28" s="70"/>
      <c r="N28" s="50"/>
      <c r="O28" s="50"/>
      <c r="P28" s="50"/>
      <c r="Q28" s="50"/>
      <c r="R28" s="50"/>
    </row>
    <row r="29" spans="1:18" s="29" customFormat="1" x14ac:dyDescent="0.15">
      <c r="A29" s="65"/>
      <c r="B29" s="41" t="str">
        <f>IF(ISERROR(VLOOKUP($A29,通讯录!$A:$M,3,FALSE)&amp;""),"",VLOOKUP($A29,通讯录!$A:$M,3,FALSE)&amp;"")</f>
        <v/>
      </c>
      <c r="C29" s="41" t="str">
        <f>IF(ISERROR(VLOOKUP($A29,通讯录!$A:$M,7,FALSE)&amp;""),"",VLOOKUP($A29,通讯录!$A:$M,7,FALSE)&amp;"")</f>
        <v/>
      </c>
      <c r="D29" s="41" t="str">
        <f>IF(ISERROR(VLOOKUP($A29,通讯录!$A:$M,5,FALSE)&amp;""),"",VLOOKUP($A29,通讯录!$A:$M,5,FALSE)&amp;"")</f>
        <v/>
      </c>
      <c r="E29" s="41" t="str">
        <f>IF(ISERROR(VLOOKUP($A29,通讯录!$A:$M,6,FALSE)&amp;""),"",VLOOKUP($A29,通讯录!$A:$M,6,FALSE)&amp;"")</f>
        <v/>
      </c>
      <c r="F29" s="41" t="str">
        <f>IF(ISERROR(VLOOKUP($A29,通讯录!$A:$M,4,FALSE)&amp;""),"",VLOOKUP($A29,通讯录!$A:$M,4,FALSE)&amp;"")</f>
        <v/>
      </c>
      <c r="G29" s="41" t="str">
        <f>IF(ISERROR(VLOOKUP($A29,通讯录!$A:$M,8,FALSE)&amp;""),"",VLOOKUP($A29,通讯录!$A:$M,8,FALSE)&amp;"")</f>
        <v/>
      </c>
      <c r="H29" s="41"/>
      <c r="I29" s="41"/>
      <c r="J29" s="41"/>
      <c r="K29" s="67"/>
      <c r="L29" s="50"/>
      <c r="M29" s="70"/>
      <c r="N29" s="50"/>
      <c r="O29" s="50"/>
      <c r="P29" s="50"/>
      <c r="Q29" s="50"/>
      <c r="R29" s="50"/>
    </row>
    <row r="30" spans="1:18" s="29" customFormat="1" x14ac:dyDescent="0.15">
      <c r="A30" s="65"/>
      <c r="B30" s="41" t="str">
        <f>IF(ISERROR(VLOOKUP($A30,通讯录!$A:$M,3,FALSE)&amp;""),"",VLOOKUP($A30,通讯录!$A:$M,3,FALSE)&amp;"")</f>
        <v/>
      </c>
      <c r="C30" s="41" t="str">
        <f>IF(ISERROR(VLOOKUP($A30,通讯录!$A:$M,7,FALSE)&amp;""),"",VLOOKUP($A30,通讯录!$A:$M,7,FALSE)&amp;"")</f>
        <v/>
      </c>
      <c r="D30" s="41" t="str">
        <f>IF(ISERROR(VLOOKUP($A30,通讯录!$A:$M,5,FALSE)&amp;""),"",VLOOKUP($A30,通讯录!$A:$M,5,FALSE)&amp;"")</f>
        <v/>
      </c>
      <c r="E30" s="41" t="str">
        <f>IF(ISERROR(VLOOKUP($A30,通讯录!$A:$M,6,FALSE)&amp;""),"",VLOOKUP($A30,通讯录!$A:$M,6,FALSE)&amp;"")</f>
        <v/>
      </c>
      <c r="F30" s="41" t="str">
        <f>IF(ISERROR(VLOOKUP($A30,通讯录!$A:$M,4,FALSE)&amp;""),"",VLOOKUP($A30,通讯录!$A:$M,4,FALSE)&amp;"")</f>
        <v/>
      </c>
      <c r="G30" s="41" t="str">
        <f>IF(ISERROR(VLOOKUP($A30,通讯录!$A:$M,8,FALSE)&amp;""),"",VLOOKUP($A30,通讯录!$A:$M,8,FALSE)&amp;"")</f>
        <v/>
      </c>
      <c r="H30" s="41"/>
      <c r="I30" s="41"/>
      <c r="J30" s="41"/>
      <c r="K30" s="67"/>
      <c r="L30" s="50"/>
      <c r="M30" s="70"/>
      <c r="N30" s="50"/>
      <c r="O30" s="50"/>
      <c r="P30" s="50"/>
      <c r="Q30" s="50"/>
      <c r="R30" s="50"/>
    </row>
    <row r="31" spans="1:18" s="29" customFormat="1" x14ac:dyDescent="0.15">
      <c r="A31" s="65"/>
      <c r="B31" s="41" t="str">
        <f>IF(ISERROR(VLOOKUP($A31,通讯录!$A:$M,3,FALSE)&amp;""),"",VLOOKUP($A31,通讯录!$A:$M,3,FALSE)&amp;"")</f>
        <v/>
      </c>
      <c r="C31" s="41" t="str">
        <f>IF(ISERROR(VLOOKUP($A31,通讯录!$A:$M,7,FALSE)&amp;""),"",VLOOKUP($A31,通讯录!$A:$M,7,FALSE)&amp;"")</f>
        <v/>
      </c>
      <c r="D31" s="41" t="str">
        <f>IF(ISERROR(VLOOKUP($A31,通讯录!$A:$M,5,FALSE)&amp;""),"",VLOOKUP($A31,通讯录!$A:$M,5,FALSE)&amp;"")</f>
        <v/>
      </c>
      <c r="E31" s="41" t="str">
        <f>IF(ISERROR(VLOOKUP($A31,通讯录!$A:$M,6,FALSE)&amp;""),"",VLOOKUP($A31,通讯录!$A:$M,6,FALSE)&amp;"")</f>
        <v/>
      </c>
      <c r="F31" s="41" t="str">
        <f>IF(ISERROR(VLOOKUP($A31,通讯录!$A:$M,4,FALSE)&amp;""),"",VLOOKUP($A31,通讯录!$A:$M,4,FALSE)&amp;"")</f>
        <v/>
      </c>
      <c r="G31" s="41" t="str">
        <f>IF(ISERROR(VLOOKUP($A31,通讯录!$A:$M,8,FALSE)&amp;""),"",VLOOKUP($A31,通讯录!$A:$M,8,FALSE)&amp;"")</f>
        <v/>
      </c>
      <c r="H31" s="41"/>
      <c r="I31" s="41"/>
      <c r="J31" s="41"/>
      <c r="K31" s="67"/>
      <c r="L31" s="50"/>
      <c r="M31" s="70"/>
      <c r="N31" s="50"/>
      <c r="O31" s="50"/>
      <c r="P31" s="50"/>
      <c r="Q31" s="50"/>
      <c r="R31" s="50"/>
    </row>
    <row r="32" spans="1:18" s="29" customFormat="1" x14ac:dyDescent="0.15">
      <c r="A32" s="65"/>
      <c r="B32" s="41" t="str">
        <f>IF(ISERROR(VLOOKUP($A32,通讯录!$A:$M,3,FALSE)&amp;""),"",VLOOKUP($A32,通讯录!$A:$M,3,FALSE)&amp;"")</f>
        <v/>
      </c>
      <c r="C32" s="41" t="str">
        <f>IF(ISERROR(VLOOKUP($A32,通讯录!$A:$M,7,FALSE)&amp;""),"",VLOOKUP($A32,通讯录!$A:$M,7,FALSE)&amp;"")</f>
        <v/>
      </c>
      <c r="D32" s="41" t="str">
        <f>IF(ISERROR(VLOOKUP($A32,通讯录!$A:$M,5,FALSE)&amp;""),"",VLOOKUP($A32,通讯录!$A:$M,5,FALSE)&amp;"")</f>
        <v/>
      </c>
      <c r="E32" s="41" t="str">
        <f>IF(ISERROR(VLOOKUP($A32,通讯录!$A:$M,6,FALSE)&amp;""),"",VLOOKUP($A32,通讯录!$A:$M,6,FALSE)&amp;"")</f>
        <v/>
      </c>
      <c r="F32" s="41" t="str">
        <f>IF(ISERROR(VLOOKUP($A32,通讯录!$A:$M,4,FALSE)&amp;""),"",VLOOKUP($A32,通讯录!$A:$M,4,FALSE)&amp;"")</f>
        <v/>
      </c>
      <c r="G32" s="41" t="str">
        <f>IF(ISERROR(VLOOKUP($A32,通讯录!$A:$M,8,FALSE)&amp;""),"",VLOOKUP($A32,通讯录!$A:$M,8,FALSE)&amp;"")</f>
        <v/>
      </c>
      <c r="H32" s="41"/>
      <c r="I32" s="41"/>
      <c r="J32" s="41"/>
      <c r="K32" s="67"/>
      <c r="L32" s="50"/>
      <c r="M32" s="70"/>
      <c r="N32" s="50"/>
      <c r="O32" s="50"/>
      <c r="P32" s="50"/>
      <c r="Q32" s="50"/>
      <c r="R32" s="50"/>
    </row>
    <row r="33" spans="1:18" s="29" customFormat="1" x14ac:dyDescent="0.15">
      <c r="A33" s="65"/>
      <c r="B33" s="41" t="str">
        <f>IF(ISERROR(VLOOKUP($A33,通讯录!$A:$M,3,FALSE)&amp;""),"",VLOOKUP($A33,通讯录!$A:$M,3,FALSE)&amp;"")</f>
        <v/>
      </c>
      <c r="C33" s="41" t="str">
        <f>IF(ISERROR(VLOOKUP($A33,通讯录!$A:$M,7,FALSE)&amp;""),"",VLOOKUP($A33,通讯录!$A:$M,7,FALSE)&amp;"")</f>
        <v/>
      </c>
      <c r="D33" s="41" t="str">
        <f>IF(ISERROR(VLOOKUP($A33,通讯录!$A:$M,5,FALSE)&amp;""),"",VLOOKUP($A33,通讯录!$A:$M,5,FALSE)&amp;"")</f>
        <v/>
      </c>
      <c r="E33" s="41" t="str">
        <f>IF(ISERROR(VLOOKUP($A33,通讯录!$A:$M,6,FALSE)&amp;""),"",VLOOKUP($A33,通讯录!$A:$M,6,FALSE)&amp;"")</f>
        <v/>
      </c>
      <c r="F33" s="41" t="str">
        <f>IF(ISERROR(VLOOKUP($A33,通讯录!$A:$M,4,FALSE)&amp;""),"",VLOOKUP($A33,通讯录!$A:$M,4,FALSE)&amp;"")</f>
        <v/>
      </c>
      <c r="G33" s="41" t="str">
        <f>IF(ISERROR(VLOOKUP($A33,通讯录!$A:$M,8,FALSE)&amp;""),"",VLOOKUP($A33,通讯录!$A:$M,8,FALSE)&amp;"")</f>
        <v/>
      </c>
      <c r="H33" s="41"/>
      <c r="I33" s="41"/>
      <c r="J33" s="41"/>
      <c r="K33" s="67"/>
      <c r="L33" s="50"/>
      <c r="M33" s="70"/>
      <c r="N33" s="50"/>
      <c r="O33" s="50"/>
      <c r="P33" s="50"/>
      <c r="Q33" s="50"/>
      <c r="R33" s="50"/>
    </row>
    <row r="34" spans="1:18" s="29" customFormat="1" x14ac:dyDescent="0.15">
      <c r="A34" s="65"/>
      <c r="B34" s="41" t="str">
        <f>IF(ISERROR(VLOOKUP($A34,通讯录!$A:$M,3,FALSE)&amp;""),"",VLOOKUP($A34,通讯录!$A:$M,3,FALSE)&amp;"")</f>
        <v/>
      </c>
      <c r="C34" s="41" t="str">
        <f>IF(ISERROR(VLOOKUP($A34,通讯录!$A:$M,7,FALSE)&amp;""),"",VLOOKUP($A34,通讯录!$A:$M,7,FALSE)&amp;"")</f>
        <v/>
      </c>
      <c r="D34" s="41" t="str">
        <f>IF(ISERROR(VLOOKUP($A34,通讯录!$A:$M,5,FALSE)&amp;""),"",VLOOKUP($A34,通讯录!$A:$M,5,FALSE)&amp;"")</f>
        <v/>
      </c>
      <c r="E34" s="41" t="str">
        <f>IF(ISERROR(VLOOKUP($A34,通讯录!$A:$M,6,FALSE)&amp;""),"",VLOOKUP($A34,通讯录!$A:$M,6,FALSE)&amp;"")</f>
        <v/>
      </c>
      <c r="F34" s="41" t="str">
        <f>IF(ISERROR(VLOOKUP($A34,通讯录!$A:$M,4,FALSE)&amp;""),"",VLOOKUP($A34,通讯录!$A:$M,4,FALSE)&amp;"")</f>
        <v/>
      </c>
      <c r="G34" s="41" t="str">
        <f>IF(ISERROR(VLOOKUP($A34,通讯录!$A:$M,8,FALSE)&amp;""),"",VLOOKUP($A34,通讯录!$A:$M,8,FALSE)&amp;"")</f>
        <v/>
      </c>
      <c r="H34" s="41"/>
      <c r="I34" s="41"/>
      <c r="J34" s="41"/>
      <c r="K34" s="67"/>
      <c r="L34" s="50"/>
      <c r="M34" s="70"/>
      <c r="N34" s="50"/>
      <c r="O34" s="50"/>
      <c r="P34" s="50"/>
      <c r="Q34" s="50"/>
      <c r="R34" s="50"/>
    </row>
    <row r="35" spans="1:18" s="29" customFormat="1" x14ac:dyDescent="0.15">
      <c r="A35" s="65"/>
      <c r="B35" s="41" t="str">
        <f>IF(ISERROR(VLOOKUP($A35,通讯录!$A:$M,3,FALSE)&amp;""),"",VLOOKUP($A35,通讯录!$A:$M,3,FALSE)&amp;"")</f>
        <v/>
      </c>
      <c r="C35" s="41" t="str">
        <f>IF(ISERROR(VLOOKUP($A35,通讯录!$A:$M,7,FALSE)&amp;""),"",VLOOKUP($A35,通讯录!$A:$M,7,FALSE)&amp;"")</f>
        <v/>
      </c>
      <c r="D35" s="41" t="str">
        <f>IF(ISERROR(VLOOKUP($A35,通讯录!$A:$M,5,FALSE)&amp;""),"",VLOOKUP($A35,通讯录!$A:$M,5,FALSE)&amp;"")</f>
        <v/>
      </c>
      <c r="E35" s="41" t="str">
        <f>IF(ISERROR(VLOOKUP($A35,通讯录!$A:$M,6,FALSE)&amp;""),"",VLOOKUP($A35,通讯录!$A:$M,6,FALSE)&amp;"")</f>
        <v/>
      </c>
      <c r="F35" s="41" t="str">
        <f>IF(ISERROR(VLOOKUP($A35,通讯录!$A:$M,4,FALSE)&amp;""),"",VLOOKUP($A35,通讯录!$A:$M,4,FALSE)&amp;"")</f>
        <v/>
      </c>
      <c r="G35" s="41" t="str">
        <f>IF(ISERROR(VLOOKUP($A35,通讯录!$A:$M,8,FALSE)&amp;""),"",VLOOKUP($A35,通讯录!$A:$M,8,FALSE)&amp;"")</f>
        <v/>
      </c>
      <c r="H35" s="41"/>
      <c r="I35" s="41"/>
      <c r="J35" s="41"/>
      <c r="K35" s="67"/>
      <c r="L35" s="50"/>
      <c r="M35" s="70"/>
      <c r="N35" s="50"/>
      <c r="O35" s="50"/>
      <c r="P35" s="50"/>
      <c r="Q35" s="50"/>
      <c r="R35" s="50"/>
    </row>
    <row r="36" spans="1:18" s="29" customFormat="1" x14ac:dyDescent="0.15">
      <c r="A36" s="65"/>
      <c r="B36" s="41" t="str">
        <f>IF(ISERROR(VLOOKUP($A36,通讯录!$A:$M,3,FALSE)&amp;""),"",VLOOKUP($A36,通讯录!$A:$M,3,FALSE)&amp;"")</f>
        <v/>
      </c>
      <c r="C36" s="41" t="str">
        <f>IF(ISERROR(VLOOKUP($A36,通讯录!$A:$M,7,FALSE)&amp;""),"",VLOOKUP($A36,通讯录!$A:$M,7,FALSE)&amp;"")</f>
        <v/>
      </c>
      <c r="D36" s="41" t="str">
        <f>IF(ISERROR(VLOOKUP($A36,通讯录!$A:$M,5,FALSE)&amp;""),"",VLOOKUP($A36,通讯录!$A:$M,5,FALSE)&amp;"")</f>
        <v/>
      </c>
      <c r="E36" s="41" t="str">
        <f>IF(ISERROR(VLOOKUP($A36,通讯录!$A:$M,6,FALSE)&amp;""),"",VLOOKUP($A36,通讯录!$A:$M,6,FALSE)&amp;"")</f>
        <v/>
      </c>
      <c r="F36" s="41" t="str">
        <f>IF(ISERROR(VLOOKUP($A36,通讯录!$A:$M,4,FALSE)&amp;""),"",VLOOKUP($A36,通讯录!$A:$M,4,FALSE)&amp;"")</f>
        <v/>
      </c>
      <c r="G36" s="41" t="str">
        <f>IF(ISERROR(VLOOKUP($A36,通讯录!$A:$M,8,FALSE)&amp;""),"",VLOOKUP($A36,通讯录!$A:$M,8,FALSE)&amp;"")</f>
        <v/>
      </c>
      <c r="H36" s="41"/>
      <c r="I36" s="41"/>
      <c r="J36" s="41"/>
      <c r="K36" s="67"/>
      <c r="L36" s="50"/>
      <c r="M36" s="70"/>
      <c r="N36" s="50"/>
      <c r="O36" s="50"/>
      <c r="P36" s="50"/>
      <c r="Q36" s="50"/>
      <c r="R36" s="50"/>
    </row>
    <row r="37" spans="1:18" s="29" customFormat="1" x14ac:dyDescent="0.15">
      <c r="A37" s="65"/>
      <c r="B37" s="41" t="str">
        <f>IF(ISERROR(VLOOKUP($A37,通讯录!$A:$M,3,FALSE)&amp;""),"",VLOOKUP($A37,通讯录!$A:$M,3,FALSE)&amp;"")</f>
        <v/>
      </c>
      <c r="C37" s="41" t="str">
        <f>IF(ISERROR(VLOOKUP($A37,通讯录!$A:$M,7,FALSE)&amp;""),"",VLOOKUP($A37,通讯录!$A:$M,7,FALSE)&amp;"")</f>
        <v/>
      </c>
      <c r="D37" s="41" t="str">
        <f>IF(ISERROR(VLOOKUP($A37,通讯录!$A:$M,5,FALSE)&amp;""),"",VLOOKUP($A37,通讯录!$A:$M,5,FALSE)&amp;"")</f>
        <v/>
      </c>
      <c r="E37" s="41" t="str">
        <f>IF(ISERROR(VLOOKUP($A37,通讯录!$A:$M,6,FALSE)&amp;""),"",VLOOKUP($A37,通讯录!$A:$M,6,FALSE)&amp;"")</f>
        <v/>
      </c>
      <c r="F37" s="41" t="str">
        <f>IF(ISERROR(VLOOKUP($A37,通讯录!$A:$M,4,FALSE)&amp;""),"",VLOOKUP($A37,通讯录!$A:$M,4,FALSE)&amp;"")</f>
        <v/>
      </c>
      <c r="G37" s="41"/>
      <c r="H37" s="41"/>
      <c r="I37" s="41"/>
      <c r="J37" s="41"/>
      <c r="K37" s="67"/>
      <c r="L37" s="50"/>
      <c r="M37" s="70"/>
      <c r="N37" s="50"/>
      <c r="O37" s="50"/>
      <c r="P37" s="50"/>
      <c r="Q37" s="50"/>
      <c r="R37" s="50"/>
    </row>
    <row r="38" spans="1:18" s="29" customFormat="1" x14ac:dyDescent="0.15">
      <c r="A38" s="65"/>
      <c r="B38" s="41" t="str">
        <f>IF(ISERROR(VLOOKUP($A38,通讯录!$A:$M,3,FALSE)&amp;""),"",VLOOKUP($A38,通讯录!$A:$M,3,FALSE)&amp;"")</f>
        <v/>
      </c>
      <c r="C38" s="41" t="str">
        <f>IF(ISERROR(VLOOKUP($A38,通讯录!$A:$M,7,FALSE)&amp;""),"",VLOOKUP($A38,通讯录!$A:$M,7,FALSE)&amp;"")</f>
        <v/>
      </c>
      <c r="D38" s="41" t="str">
        <f>IF(ISERROR(VLOOKUP($A38,通讯录!$A:$M,5,FALSE)&amp;""),"",VLOOKUP($A38,通讯录!$A:$M,5,FALSE)&amp;"")</f>
        <v/>
      </c>
      <c r="E38" s="41" t="str">
        <f>IF(ISERROR(VLOOKUP($A38,通讯录!$A:$M,6,FALSE)&amp;""),"",VLOOKUP($A38,通讯录!$A:$M,6,FALSE)&amp;"")</f>
        <v/>
      </c>
      <c r="F38" s="41" t="str">
        <f>IF(ISERROR(VLOOKUP($A38,通讯录!$A:$M,4,FALSE)&amp;""),"",VLOOKUP($A38,通讯录!$A:$M,4,FALSE)&amp;"")</f>
        <v/>
      </c>
      <c r="G38" s="41" t="str">
        <f>IF(ISERROR(VLOOKUP($A38,通讯录!$A:$M,8,FALSE)&amp;""),"",VLOOKUP($A38,通讯录!$A:$M,8,FALSE)&amp;"")</f>
        <v/>
      </c>
      <c r="H38" s="41"/>
      <c r="I38" s="41"/>
      <c r="J38" s="41"/>
      <c r="K38" s="67"/>
      <c r="L38" s="50"/>
      <c r="M38" s="70"/>
      <c r="N38" s="50"/>
      <c r="O38" s="50"/>
      <c r="P38" s="50"/>
      <c r="Q38" s="50"/>
      <c r="R38" s="50"/>
    </row>
    <row r="39" spans="1:18" s="29" customFormat="1" x14ac:dyDescent="0.15">
      <c r="A39" s="65"/>
      <c r="B39" s="41" t="str">
        <f>IF(ISERROR(VLOOKUP($A39,通讯录!$A:$M,3,FALSE)&amp;""),"",VLOOKUP($A39,通讯录!$A:$M,3,FALSE)&amp;"")</f>
        <v/>
      </c>
      <c r="C39" s="41" t="str">
        <f>IF(ISERROR(VLOOKUP($A39,通讯录!$A:$M,7,FALSE)&amp;""),"",VLOOKUP($A39,通讯录!$A:$M,7,FALSE)&amp;"")</f>
        <v/>
      </c>
      <c r="D39" s="41" t="str">
        <f>IF(ISERROR(VLOOKUP($A39,通讯录!$A:$M,5,FALSE)&amp;""),"",VLOOKUP($A39,通讯录!$A:$M,5,FALSE)&amp;"")</f>
        <v/>
      </c>
      <c r="E39" s="41" t="str">
        <f>IF(ISERROR(VLOOKUP($A39,通讯录!$A:$M,6,FALSE)&amp;""),"",VLOOKUP($A39,通讯录!$A:$M,6,FALSE)&amp;"")</f>
        <v/>
      </c>
      <c r="F39" s="41" t="str">
        <f>IF(ISERROR(VLOOKUP($A39,通讯录!$A:$M,4,FALSE)&amp;""),"",VLOOKUP($A39,通讯录!$A:$M,4,FALSE)&amp;"")</f>
        <v/>
      </c>
      <c r="G39" s="41" t="str">
        <f>IF(ISERROR(VLOOKUP($A39,通讯录!$A:$M,8,FALSE)&amp;""),"",VLOOKUP($A39,通讯录!$A:$M,8,FALSE)&amp;"")</f>
        <v/>
      </c>
      <c r="H39" s="41"/>
      <c r="I39" s="41"/>
      <c r="J39" s="41"/>
      <c r="K39" s="67" t="str">
        <f>CONCATENATE(L39,M39,N39,O39,P39,Q39,R39,S39)</f>
        <v/>
      </c>
      <c r="L39" s="50" t="str">
        <f>LEFT(A39,1)</f>
        <v/>
      </c>
      <c r="M39" s="50"/>
      <c r="N39" s="50"/>
      <c r="O39" s="50"/>
      <c r="P39" s="50"/>
      <c r="Q39" s="50"/>
      <c r="R39" s="50"/>
    </row>
    <row r="40" spans="1:18" s="29" customFormat="1" x14ac:dyDescent="0.15">
      <c r="A40" s="65"/>
      <c r="B40" s="41" t="str">
        <f>IF(ISERROR(VLOOKUP($A40,通讯录!$A:$M,3,FALSE)&amp;""),"",VLOOKUP($A40,通讯录!$A:$M,3,FALSE)&amp;"")</f>
        <v/>
      </c>
      <c r="C40" s="41" t="str">
        <f>IF(ISERROR(VLOOKUP($A40,通讯录!$A:$M,7,FALSE)&amp;""),"",VLOOKUP($A40,通讯录!$A:$M,7,FALSE)&amp;"")</f>
        <v/>
      </c>
      <c r="D40" s="41" t="str">
        <f>IF(ISERROR(VLOOKUP($A40,通讯录!$A:$M,5,FALSE)&amp;""),"",VLOOKUP($A40,通讯录!$A:$M,5,FALSE)&amp;"")</f>
        <v/>
      </c>
      <c r="E40" s="41" t="str">
        <f>IF(ISERROR(VLOOKUP($A40,通讯录!$A:$M,6,FALSE)&amp;""),"",VLOOKUP($A40,通讯录!$A:$M,6,FALSE)&amp;"")</f>
        <v/>
      </c>
      <c r="F40" s="41" t="str">
        <f>IF(ISERROR(VLOOKUP($A40,通讯录!$A:$M,4,FALSE)&amp;""),"",VLOOKUP($A40,通讯录!$A:$M,4,FALSE)&amp;"")</f>
        <v/>
      </c>
      <c r="G40" s="41" t="str">
        <f>IF(ISERROR(VLOOKUP($A40,通讯录!$A:$M,8,FALSE)&amp;""),"",VLOOKUP($A40,通讯录!$A:$M,8,FALSE)&amp;"")</f>
        <v/>
      </c>
      <c r="H40" s="41"/>
      <c r="I40" s="41"/>
      <c r="J40" s="41"/>
      <c r="K40" s="50"/>
      <c r="L40" s="50"/>
      <c r="M40" s="50"/>
      <c r="N40" s="50"/>
      <c r="O40" s="50"/>
      <c r="P40" s="50"/>
      <c r="Q40" s="50"/>
      <c r="R40" s="50"/>
    </row>
    <row r="41" spans="1:18" s="29" customFormat="1" x14ac:dyDescent="0.15">
      <c r="A41" s="65"/>
      <c r="B41" s="41" t="str">
        <f>IF(ISERROR(VLOOKUP($A41,通讯录!$A:$M,3,FALSE)&amp;""),"",VLOOKUP($A41,通讯录!$A:$M,3,FALSE)&amp;"")</f>
        <v/>
      </c>
      <c r="C41" s="41" t="str">
        <f>IF(ISERROR(VLOOKUP($A41,通讯录!$A:$M,7,FALSE)&amp;""),"",VLOOKUP($A41,通讯录!$A:$M,7,FALSE)&amp;"")</f>
        <v/>
      </c>
      <c r="D41" s="41" t="str">
        <f>IF(ISERROR(VLOOKUP($A41,通讯录!$A:$M,5,FALSE)&amp;""),"",VLOOKUP($A41,通讯录!$A:$M,5,FALSE)&amp;"")</f>
        <v/>
      </c>
      <c r="E41" s="41" t="str">
        <f>IF(ISERROR(VLOOKUP($A41,通讯录!$A:$M,6,FALSE)&amp;""),"",VLOOKUP($A41,通讯录!$A:$M,6,FALSE)&amp;"")</f>
        <v/>
      </c>
      <c r="F41" s="41" t="str">
        <f>IF(ISERROR(VLOOKUP($A41,通讯录!$A:$M,4,FALSE)&amp;""),"",VLOOKUP($A41,通讯录!$A:$M,4,FALSE)&amp;"")</f>
        <v/>
      </c>
      <c r="G41" s="41" t="str">
        <f>IF(ISERROR(VLOOKUP($A41,通讯录!$A:$M,8,FALSE)&amp;""),"",VLOOKUP($A41,通讯录!$A:$M,8,FALSE)&amp;"")</f>
        <v/>
      </c>
      <c r="H41" s="41"/>
      <c r="I41" s="41"/>
      <c r="J41" s="41"/>
      <c r="K41" s="50"/>
      <c r="L41" s="50"/>
      <c r="M41" s="50"/>
      <c r="N41" s="50"/>
      <c r="O41" s="50"/>
      <c r="P41" s="50"/>
      <c r="Q41" s="50"/>
      <c r="R41" s="50"/>
    </row>
    <row r="42" spans="1:18" s="29" customFormat="1" x14ac:dyDescent="0.15">
      <c r="A42" s="65"/>
      <c r="B42" s="41"/>
      <c r="C42" s="41"/>
      <c r="D42" s="41"/>
      <c r="E42" s="41"/>
      <c r="F42" s="41"/>
      <c r="G42" s="41"/>
      <c r="H42" s="41"/>
      <c r="I42" s="41"/>
      <c r="J42" s="41"/>
      <c r="K42" s="50"/>
      <c r="L42" s="50"/>
      <c r="M42" s="50"/>
      <c r="N42" s="50"/>
      <c r="O42" s="50"/>
      <c r="P42" s="50"/>
      <c r="Q42" s="50"/>
      <c r="R42" s="50"/>
    </row>
    <row r="43" spans="1:18" s="29" customFormat="1" x14ac:dyDescent="0.15">
      <c r="A43" s="65"/>
      <c r="B43" s="41"/>
      <c r="C43" s="41"/>
      <c r="D43" s="41"/>
      <c r="E43" s="41"/>
      <c r="F43" s="41"/>
      <c r="G43" s="41"/>
      <c r="H43" s="41"/>
      <c r="I43" s="41"/>
      <c r="J43" s="41"/>
      <c r="K43" s="50"/>
      <c r="L43" s="50"/>
      <c r="M43" s="50"/>
      <c r="N43" s="50"/>
      <c r="O43" s="50"/>
      <c r="P43" s="50"/>
      <c r="Q43" s="50"/>
      <c r="R43" s="50"/>
    </row>
    <row r="44" spans="1:18" s="29" customFormat="1" x14ac:dyDescent="0.15">
      <c r="A44" s="65"/>
      <c r="B44" s="41"/>
      <c r="C44" s="41"/>
      <c r="D44" s="41"/>
      <c r="E44" s="41"/>
      <c r="F44" s="41"/>
      <c r="G44" s="41"/>
      <c r="H44" s="41"/>
      <c r="I44" s="41"/>
      <c r="J44" s="41"/>
      <c r="K44" s="50"/>
      <c r="L44" s="50"/>
      <c r="M44" s="50"/>
      <c r="N44" s="50"/>
      <c r="O44" s="50"/>
      <c r="P44" s="50"/>
      <c r="Q44" s="50"/>
      <c r="R44" s="50"/>
    </row>
    <row r="45" spans="1:18" s="29" customFormat="1" x14ac:dyDescent="0.15">
      <c r="A45" s="65"/>
      <c r="B45" s="41"/>
      <c r="C45" s="41"/>
      <c r="D45" s="41"/>
      <c r="E45" s="41"/>
      <c r="F45" s="41"/>
      <c r="G45" s="41"/>
      <c r="H45" s="41"/>
      <c r="I45" s="41"/>
      <c r="J45" s="41"/>
      <c r="K45" s="50"/>
      <c r="L45" s="50"/>
      <c r="M45" s="50"/>
      <c r="N45" s="50"/>
      <c r="O45" s="50"/>
      <c r="P45" s="50"/>
      <c r="Q45" s="50"/>
      <c r="R45" s="50"/>
    </row>
    <row r="46" spans="1:18" s="29" customFormat="1" x14ac:dyDescent="0.15">
      <c r="A46" s="65"/>
      <c r="B46" s="41"/>
      <c r="C46" s="41"/>
      <c r="D46" s="41"/>
      <c r="E46" s="41"/>
      <c r="F46" s="41"/>
      <c r="G46" s="41"/>
      <c r="H46" s="41"/>
      <c r="I46" s="41"/>
      <c r="J46" s="41"/>
      <c r="K46" s="50"/>
      <c r="L46" s="50"/>
      <c r="M46" s="50"/>
      <c r="N46" s="50"/>
      <c r="O46" s="50"/>
      <c r="P46" s="50"/>
      <c r="Q46" s="50"/>
      <c r="R46" s="50"/>
    </row>
    <row r="47" spans="1:18" s="29" customFormat="1" x14ac:dyDescent="0.15">
      <c r="A47" s="65"/>
      <c r="B47" s="41"/>
      <c r="C47" s="41"/>
      <c r="D47" s="41"/>
      <c r="E47" s="41"/>
      <c r="F47" s="41"/>
      <c r="G47" s="41"/>
      <c r="H47" s="41"/>
      <c r="I47" s="41"/>
      <c r="J47" s="41"/>
      <c r="K47" s="50"/>
      <c r="L47" s="50"/>
      <c r="M47" s="50"/>
      <c r="N47" s="50"/>
      <c r="O47" s="50"/>
      <c r="P47" s="50"/>
      <c r="Q47" s="50"/>
      <c r="R47" s="50"/>
    </row>
    <row r="48" spans="1:18" s="29" customFormat="1" x14ac:dyDescent="0.15">
      <c r="A48" s="65"/>
      <c r="B48" s="41"/>
      <c r="C48" s="41"/>
      <c r="D48" s="41"/>
      <c r="E48" s="41"/>
      <c r="F48" s="41"/>
      <c r="G48" s="41"/>
      <c r="H48" s="41"/>
      <c r="I48" s="41"/>
      <c r="J48" s="41"/>
      <c r="K48" s="50"/>
      <c r="L48" s="50"/>
      <c r="M48" s="50"/>
      <c r="N48" s="50"/>
      <c r="O48" s="50"/>
      <c r="P48" s="50"/>
      <c r="Q48" s="50"/>
      <c r="R48" s="50"/>
    </row>
    <row r="49" spans="1:18" s="29" customFormat="1" x14ac:dyDescent="0.15">
      <c r="A49" s="66"/>
      <c r="B49" s="41"/>
      <c r="C49" s="41"/>
      <c r="D49" s="41"/>
      <c r="E49" s="41"/>
      <c r="F49" s="41"/>
      <c r="G49" s="41"/>
      <c r="H49" s="41"/>
      <c r="I49" s="41"/>
      <c r="J49" s="41"/>
      <c r="K49" s="50"/>
      <c r="L49" s="50"/>
      <c r="M49" s="50"/>
      <c r="N49" s="50"/>
      <c r="O49" s="50"/>
      <c r="P49" s="50"/>
      <c r="Q49" s="50"/>
      <c r="R49" s="50"/>
    </row>
    <row r="50" spans="1:18" s="29" customFormat="1" x14ac:dyDescent="0.15">
      <c r="A50" s="66"/>
      <c r="B50" s="41"/>
      <c r="C50" s="41"/>
      <c r="D50" s="41"/>
      <c r="E50" s="41"/>
      <c r="F50" s="41"/>
      <c r="G50" s="41"/>
      <c r="H50" s="41"/>
      <c r="I50" s="41"/>
      <c r="J50" s="41"/>
      <c r="K50" s="50"/>
      <c r="L50" s="50"/>
      <c r="M50" s="50"/>
      <c r="N50" s="50"/>
      <c r="O50" s="50"/>
      <c r="P50" s="50"/>
      <c r="Q50" s="50"/>
      <c r="R50" s="50"/>
    </row>
    <row r="51" spans="1:18" s="29" customFormat="1" x14ac:dyDescent="0.15">
      <c r="A51" s="66"/>
      <c r="B51" s="41"/>
      <c r="C51" s="41"/>
      <c r="D51" s="41"/>
      <c r="E51" s="41"/>
      <c r="F51" s="41"/>
      <c r="G51" s="41"/>
      <c r="H51" s="41"/>
      <c r="I51" s="41"/>
      <c r="J51" s="41"/>
      <c r="K51" s="50"/>
      <c r="L51" s="50"/>
      <c r="M51" s="50"/>
      <c r="N51" s="50"/>
      <c r="O51" s="50"/>
      <c r="P51" s="50"/>
      <c r="Q51" s="50"/>
      <c r="R51" s="50"/>
    </row>
    <row r="52" spans="1:18" s="29" customFormat="1" x14ac:dyDescent="0.15">
      <c r="A52" s="66"/>
      <c r="B52" s="41"/>
      <c r="C52" s="41"/>
      <c r="D52" s="41"/>
      <c r="E52" s="41"/>
      <c r="F52" s="41"/>
      <c r="G52" s="41"/>
      <c r="H52" s="41"/>
      <c r="I52" s="41"/>
      <c r="J52" s="41"/>
      <c r="K52" s="50"/>
      <c r="L52" s="50"/>
      <c r="M52" s="50"/>
      <c r="N52" s="50"/>
      <c r="O52" s="50"/>
      <c r="P52" s="50"/>
      <c r="Q52" s="50"/>
      <c r="R52" s="50"/>
    </row>
    <row r="53" spans="1:18" s="29" customFormat="1" x14ac:dyDescent="0.15">
      <c r="A53" s="66"/>
      <c r="B53" s="41"/>
      <c r="C53" s="41"/>
      <c r="D53" s="41"/>
      <c r="E53" s="41"/>
      <c r="F53" s="41"/>
      <c r="G53" s="41"/>
      <c r="H53" s="41"/>
      <c r="I53" s="41"/>
      <c r="J53" s="41"/>
      <c r="K53" s="50"/>
      <c r="L53" s="50"/>
      <c r="M53" s="50"/>
      <c r="N53" s="50"/>
      <c r="O53" s="50"/>
      <c r="P53" s="50"/>
      <c r="Q53" s="50"/>
      <c r="R53" s="50"/>
    </row>
    <row r="54" spans="1:18" s="29" customFormat="1" x14ac:dyDescent="0.15">
      <c r="A54" s="66"/>
      <c r="B54" s="41"/>
      <c r="C54" s="41"/>
      <c r="D54" s="41"/>
      <c r="E54" s="41"/>
      <c r="F54" s="41"/>
      <c r="G54" s="41"/>
      <c r="H54" s="41"/>
      <c r="I54" s="41"/>
      <c r="J54" s="41"/>
      <c r="K54" s="50"/>
      <c r="L54" s="50"/>
      <c r="M54" s="50"/>
      <c r="N54" s="50"/>
      <c r="O54" s="50"/>
      <c r="P54" s="50"/>
      <c r="Q54" s="50"/>
      <c r="R54" s="50"/>
    </row>
    <row r="55" spans="1:18" s="29" customFormat="1" x14ac:dyDescent="0.15">
      <c r="A55" s="66"/>
      <c r="B55" s="41"/>
      <c r="C55" s="41"/>
      <c r="D55" s="41"/>
      <c r="E55" s="41"/>
      <c r="F55" s="41"/>
      <c r="G55" s="41"/>
      <c r="H55" s="41"/>
      <c r="I55" s="41"/>
      <c r="J55" s="41"/>
      <c r="K55" s="50"/>
      <c r="L55" s="50"/>
      <c r="M55" s="50"/>
      <c r="N55" s="50"/>
      <c r="O55" s="50"/>
      <c r="P55" s="50"/>
      <c r="Q55" s="50"/>
      <c r="R55" s="50"/>
    </row>
    <row r="56" spans="1:18" s="29" customFormat="1" x14ac:dyDescent="0.15">
      <c r="A56" s="66"/>
      <c r="B56" s="41"/>
      <c r="C56" s="41"/>
      <c r="D56" s="41"/>
      <c r="E56" s="41"/>
      <c r="F56" s="41"/>
      <c r="G56" s="41"/>
      <c r="H56" s="41"/>
      <c r="I56" s="41"/>
      <c r="J56" s="41"/>
      <c r="K56" s="50"/>
      <c r="L56" s="50"/>
      <c r="M56" s="50"/>
      <c r="N56" s="50"/>
      <c r="O56" s="50"/>
      <c r="P56" s="50"/>
      <c r="Q56" s="50"/>
      <c r="R56" s="50"/>
    </row>
    <row r="57" spans="1:18" s="29" customFormat="1" x14ac:dyDescent="0.15">
      <c r="A57" s="66"/>
      <c r="B57" s="41"/>
      <c r="C57" s="41"/>
      <c r="D57" s="41"/>
      <c r="E57" s="41"/>
      <c r="F57" s="41"/>
      <c r="G57" s="41"/>
      <c r="H57" s="41"/>
      <c r="I57" s="41"/>
      <c r="J57" s="41"/>
      <c r="K57" s="50"/>
      <c r="L57" s="50"/>
      <c r="M57" s="50"/>
      <c r="N57" s="50"/>
      <c r="O57" s="50"/>
      <c r="P57" s="50"/>
      <c r="Q57" s="50"/>
      <c r="R57" s="50"/>
    </row>
    <row r="58" spans="1:18" s="29" customFormat="1" x14ac:dyDescent="0.15">
      <c r="A58" s="66"/>
      <c r="B58" s="41"/>
      <c r="C58" s="41"/>
      <c r="D58" s="41"/>
      <c r="E58" s="41"/>
      <c r="F58" s="41"/>
      <c r="G58" s="41"/>
      <c r="H58" s="41"/>
      <c r="I58" s="41"/>
      <c r="J58" s="41"/>
      <c r="K58" s="50"/>
      <c r="L58" s="50"/>
      <c r="M58" s="50"/>
      <c r="N58" s="50"/>
      <c r="O58" s="50"/>
      <c r="P58" s="50"/>
      <c r="Q58" s="50"/>
      <c r="R58" s="50"/>
    </row>
    <row r="59" spans="1:18" s="29" customFormat="1" x14ac:dyDescent="0.15">
      <c r="A59" s="66"/>
      <c r="B59" s="41"/>
      <c r="C59" s="41"/>
      <c r="D59" s="41"/>
      <c r="E59" s="41"/>
      <c r="F59" s="41"/>
      <c r="G59" s="41"/>
      <c r="H59" s="41"/>
      <c r="I59" s="41"/>
      <c r="J59" s="41"/>
      <c r="K59" s="50"/>
      <c r="L59" s="50"/>
      <c r="M59" s="50"/>
      <c r="N59" s="50"/>
      <c r="O59" s="50"/>
      <c r="P59" s="50"/>
      <c r="Q59" s="50"/>
      <c r="R59" s="50"/>
    </row>
    <row r="60" spans="1:18" s="29" customFormat="1" x14ac:dyDescent="0.15">
      <c r="A60" s="66"/>
      <c r="B60" s="41"/>
      <c r="C60" s="41"/>
      <c r="D60" s="41"/>
      <c r="E60" s="41"/>
      <c r="F60" s="41"/>
      <c r="G60" s="41"/>
      <c r="H60" s="41"/>
      <c r="I60" s="41"/>
      <c r="J60" s="41"/>
      <c r="K60" s="50"/>
      <c r="L60" s="50"/>
      <c r="M60" s="50"/>
      <c r="N60" s="50"/>
      <c r="O60" s="50"/>
      <c r="P60" s="50"/>
      <c r="Q60" s="50"/>
      <c r="R60" s="50"/>
    </row>
    <row r="61" spans="1:18" s="29" customFormat="1" x14ac:dyDescent="0.15">
      <c r="A61" s="66"/>
      <c r="B61" s="41"/>
      <c r="C61" s="41"/>
      <c r="D61" s="41"/>
      <c r="E61" s="41"/>
      <c r="F61" s="41"/>
      <c r="G61" s="41"/>
      <c r="H61" s="41"/>
      <c r="I61" s="41"/>
      <c r="J61" s="41"/>
      <c r="K61" s="50"/>
      <c r="L61" s="50"/>
      <c r="M61" s="50"/>
      <c r="N61" s="50"/>
      <c r="O61" s="50"/>
      <c r="P61" s="50"/>
      <c r="Q61" s="50"/>
      <c r="R61" s="50"/>
    </row>
    <row r="62" spans="1:18" s="29" customFormat="1" x14ac:dyDescent="0.15">
      <c r="A62" s="66"/>
      <c r="B62" s="41"/>
      <c r="C62" s="41"/>
      <c r="D62" s="41"/>
      <c r="E62" s="41"/>
      <c r="F62" s="41"/>
      <c r="G62" s="41"/>
      <c r="H62" s="41"/>
      <c r="I62" s="41"/>
      <c r="J62" s="41"/>
      <c r="K62" s="50"/>
      <c r="L62" s="50"/>
      <c r="M62" s="50"/>
      <c r="N62" s="50"/>
      <c r="O62" s="50"/>
      <c r="P62" s="50"/>
      <c r="Q62" s="50"/>
      <c r="R62" s="50"/>
    </row>
    <row r="63" spans="1:18" s="29" customFormat="1" x14ac:dyDescent="0.15">
      <c r="A63" s="66"/>
      <c r="B63" s="41"/>
      <c r="C63" s="41"/>
      <c r="D63" s="41"/>
      <c r="E63" s="41"/>
      <c r="F63" s="41"/>
      <c r="G63" s="41"/>
      <c r="H63" s="41"/>
      <c r="I63" s="41"/>
      <c r="J63" s="41"/>
      <c r="K63" s="50"/>
      <c r="L63" s="50"/>
      <c r="M63" s="50"/>
      <c r="N63" s="50"/>
      <c r="O63" s="50"/>
      <c r="P63" s="50"/>
      <c r="Q63" s="50"/>
      <c r="R63" s="50"/>
    </row>
    <row r="64" spans="1:18" s="29" customFormat="1" x14ac:dyDescent="0.15">
      <c r="A64" s="66"/>
      <c r="B64" s="41"/>
      <c r="C64" s="41"/>
      <c r="D64" s="41"/>
      <c r="E64" s="41"/>
      <c r="F64" s="41"/>
      <c r="G64" s="41"/>
      <c r="H64" s="41"/>
      <c r="I64" s="41"/>
      <c r="J64" s="41"/>
      <c r="K64" s="50"/>
      <c r="L64" s="50"/>
      <c r="M64" s="50"/>
      <c r="N64" s="50"/>
      <c r="O64" s="50"/>
      <c r="P64" s="50"/>
      <c r="Q64" s="50"/>
      <c r="R64" s="50"/>
    </row>
    <row r="65" spans="1:18" s="29" customFormat="1" x14ac:dyDescent="0.15">
      <c r="A65" s="66"/>
      <c r="B65" s="41"/>
      <c r="C65" s="41"/>
      <c r="D65" s="41"/>
      <c r="E65" s="41"/>
      <c r="F65" s="41"/>
      <c r="G65" s="41"/>
      <c r="H65" s="41"/>
      <c r="I65" s="41"/>
      <c r="J65" s="41"/>
      <c r="K65" s="50"/>
      <c r="L65" s="50"/>
      <c r="M65" s="50"/>
      <c r="N65" s="50"/>
      <c r="O65" s="50"/>
      <c r="P65" s="50"/>
      <c r="Q65" s="50"/>
      <c r="R65" s="50"/>
    </row>
    <row r="66" spans="1:18" s="29" customFormat="1" x14ac:dyDescent="0.15">
      <c r="A66" s="66"/>
      <c r="B66" s="41"/>
      <c r="C66" s="41"/>
      <c r="D66" s="41"/>
      <c r="E66" s="41"/>
      <c r="F66" s="41"/>
      <c r="G66" s="41"/>
      <c r="H66" s="41"/>
      <c r="I66" s="41"/>
      <c r="J66" s="41"/>
      <c r="K66" s="50"/>
      <c r="L66" s="50"/>
      <c r="M66" s="50"/>
      <c r="N66" s="50"/>
      <c r="O66" s="50"/>
      <c r="P66" s="50"/>
      <c r="Q66" s="50"/>
      <c r="R66" s="50"/>
    </row>
    <row r="67" spans="1:18" s="29" customFormat="1" x14ac:dyDescent="0.15">
      <c r="A67" s="66"/>
      <c r="B67" s="41"/>
      <c r="C67" s="41"/>
      <c r="D67" s="41"/>
      <c r="E67" s="41"/>
      <c r="F67" s="41"/>
      <c r="G67" s="41"/>
      <c r="H67" s="41"/>
      <c r="I67" s="41"/>
      <c r="J67" s="41"/>
      <c r="K67" s="50"/>
      <c r="L67" s="50"/>
      <c r="M67" s="50"/>
      <c r="N67" s="50"/>
      <c r="O67" s="50"/>
      <c r="P67" s="50"/>
      <c r="Q67" s="50"/>
      <c r="R67" s="50"/>
    </row>
    <row r="68" spans="1:18" s="29" customFormat="1" x14ac:dyDescent="0.15">
      <c r="A68" s="66"/>
      <c r="B68" s="41"/>
      <c r="C68" s="41"/>
      <c r="D68" s="41"/>
      <c r="E68" s="41"/>
      <c r="F68" s="41"/>
      <c r="G68" s="41"/>
      <c r="H68" s="41"/>
      <c r="I68" s="41"/>
      <c r="J68" s="41"/>
      <c r="K68" s="50"/>
      <c r="L68" s="50"/>
      <c r="M68" s="50"/>
      <c r="N68" s="50"/>
      <c r="O68" s="50"/>
      <c r="P68" s="50"/>
      <c r="Q68" s="50"/>
      <c r="R68" s="50"/>
    </row>
    <row r="69" spans="1:18" s="29" customFormat="1" x14ac:dyDescent="0.15">
      <c r="A69" s="66"/>
      <c r="B69" s="41"/>
      <c r="C69" s="41"/>
      <c r="D69" s="41"/>
      <c r="E69" s="41"/>
      <c r="F69" s="41"/>
      <c r="G69" s="41"/>
      <c r="H69" s="41"/>
      <c r="I69" s="41"/>
      <c r="J69" s="41"/>
      <c r="K69" s="50"/>
      <c r="L69" s="50"/>
      <c r="M69" s="50"/>
      <c r="N69" s="50"/>
      <c r="O69" s="50"/>
      <c r="P69" s="50"/>
      <c r="Q69" s="50"/>
      <c r="R69" s="50"/>
    </row>
    <row r="70" spans="1:18" s="29" customFormat="1" x14ac:dyDescent="0.15">
      <c r="A70" s="66"/>
      <c r="B70" s="41"/>
      <c r="C70" s="41"/>
      <c r="D70" s="41"/>
      <c r="E70" s="41"/>
      <c r="F70" s="41"/>
      <c r="G70" s="41"/>
      <c r="H70" s="41"/>
      <c r="I70" s="41"/>
      <c r="J70" s="41"/>
      <c r="K70" s="50"/>
      <c r="L70" s="50"/>
      <c r="M70" s="50"/>
      <c r="N70" s="50"/>
      <c r="O70" s="50"/>
      <c r="P70" s="50"/>
      <c r="Q70" s="50"/>
      <c r="R70" s="50"/>
    </row>
    <row r="71" spans="1:18" s="29" customFormat="1" x14ac:dyDescent="0.15">
      <c r="A71" s="66"/>
      <c r="B71" s="41"/>
      <c r="C71" s="41"/>
      <c r="D71" s="41"/>
      <c r="E71" s="41"/>
      <c r="F71" s="41"/>
      <c r="G71" s="41"/>
      <c r="H71" s="41"/>
      <c r="I71" s="41"/>
      <c r="J71" s="41"/>
      <c r="K71" s="50"/>
      <c r="L71" s="50"/>
      <c r="M71" s="50"/>
      <c r="N71" s="50"/>
      <c r="O71" s="50"/>
      <c r="P71" s="50"/>
      <c r="Q71" s="50"/>
      <c r="R71" s="50"/>
    </row>
    <row r="72" spans="1:18" s="29" customFormat="1" x14ac:dyDescent="0.15">
      <c r="A72" s="66"/>
      <c r="B72" s="41"/>
      <c r="C72" s="41"/>
      <c r="D72" s="41"/>
      <c r="E72" s="41"/>
      <c r="F72" s="41"/>
      <c r="G72" s="41"/>
      <c r="H72" s="41"/>
      <c r="I72" s="41"/>
      <c r="J72" s="41"/>
      <c r="K72" s="50"/>
      <c r="L72" s="50"/>
      <c r="M72" s="50"/>
      <c r="N72" s="50"/>
      <c r="O72" s="50"/>
      <c r="P72" s="50"/>
      <c r="Q72" s="50"/>
      <c r="R72" s="50"/>
    </row>
    <row r="73" spans="1:18" s="29" customFormat="1" x14ac:dyDescent="0.15">
      <c r="A73" s="66"/>
      <c r="B73" s="41"/>
      <c r="C73" s="41"/>
      <c r="D73" s="41"/>
      <c r="E73" s="41"/>
      <c r="F73" s="41"/>
      <c r="G73" s="41"/>
      <c r="H73" s="41"/>
      <c r="I73" s="41"/>
      <c r="J73" s="41"/>
      <c r="K73" s="50"/>
      <c r="L73" s="50"/>
      <c r="M73" s="50"/>
      <c r="N73" s="50"/>
      <c r="O73" s="50"/>
      <c r="P73" s="50"/>
      <c r="Q73" s="50"/>
      <c r="R73" s="50"/>
    </row>
    <row r="74" spans="1:18" s="29" customFormat="1" x14ac:dyDescent="0.15">
      <c r="A74" s="66"/>
      <c r="B74" s="41"/>
      <c r="C74" s="41"/>
      <c r="D74" s="41"/>
      <c r="E74" s="41"/>
      <c r="F74" s="41"/>
      <c r="G74" s="41"/>
      <c r="H74" s="41"/>
      <c r="I74" s="41"/>
      <c r="J74" s="41"/>
      <c r="K74" s="50"/>
      <c r="L74" s="50"/>
      <c r="M74" s="50"/>
      <c r="N74" s="50"/>
      <c r="O74" s="50"/>
      <c r="P74" s="50"/>
      <c r="Q74" s="50"/>
      <c r="R74" s="50"/>
    </row>
    <row r="75" spans="1:18" s="29" customFormat="1" x14ac:dyDescent="0.15">
      <c r="A75" s="66"/>
      <c r="B75" s="41"/>
      <c r="C75" s="41"/>
      <c r="D75" s="41"/>
      <c r="E75" s="41"/>
      <c r="F75" s="41"/>
      <c r="G75" s="41"/>
      <c r="H75" s="41"/>
      <c r="I75" s="41"/>
      <c r="J75" s="41"/>
      <c r="K75" s="50"/>
      <c r="L75" s="50"/>
      <c r="M75" s="50"/>
      <c r="N75" s="50"/>
      <c r="O75" s="50"/>
      <c r="P75" s="50"/>
      <c r="Q75" s="50"/>
      <c r="R75" s="50"/>
    </row>
    <row r="76" spans="1:18" s="29" customFormat="1" x14ac:dyDescent="0.15">
      <c r="A76" s="66"/>
      <c r="B76" s="41"/>
      <c r="C76" s="41"/>
      <c r="D76" s="41"/>
      <c r="E76" s="41"/>
      <c r="F76" s="41"/>
      <c r="G76" s="41"/>
      <c r="H76" s="41"/>
      <c r="I76" s="41"/>
      <c r="J76" s="41"/>
      <c r="K76" s="50"/>
      <c r="L76" s="50"/>
      <c r="M76" s="50"/>
      <c r="N76" s="50"/>
      <c r="O76" s="50"/>
      <c r="P76" s="50"/>
      <c r="Q76" s="50"/>
      <c r="R76" s="50"/>
    </row>
    <row r="77" spans="1:18" s="29" customFormat="1" x14ac:dyDescent="0.15">
      <c r="A77" s="66"/>
      <c r="B77" s="41"/>
      <c r="C77" s="41"/>
      <c r="D77" s="41"/>
      <c r="E77" s="41"/>
      <c r="F77" s="41"/>
      <c r="G77" s="41"/>
      <c r="H77" s="41"/>
      <c r="I77" s="41"/>
      <c r="J77" s="41"/>
      <c r="K77" s="50"/>
      <c r="L77" s="50"/>
      <c r="M77" s="50"/>
      <c r="N77" s="50"/>
      <c r="O77" s="50"/>
      <c r="P77" s="50"/>
      <c r="Q77" s="50"/>
      <c r="R77" s="50"/>
    </row>
    <row r="78" spans="1:18" s="29" customFormat="1" x14ac:dyDescent="0.15">
      <c r="A78" s="66"/>
      <c r="B78" s="41"/>
      <c r="C78" s="41"/>
      <c r="D78" s="41"/>
      <c r="E78" s="41"/>
      <c r="F78" s="41"/>
      <c r="G78" s="41"/>
      <c r="H78" s="41"/>
      <c r="I78" s="41"/>
      <c r="J78" s="41"/>
      <c r="K78" s="50"/>
      <c r="L78" s="50"/>
      <c r="M78" s="50"/>
      <c r="N78" s="50"/>
      <c r="O78" s="50"/>
      <c r="P78" s="50"/>
      <c r="Q78" s="50"/>
      <c r="R78" s="50"/>
    </row>
    <row r="79" spans="1:18" s="29" customFormat="1" x14ac:dyDescent="0.15">
      <c r="A79" s="66"/>
      <c r="B79" s="41"/>
      <c r="C79" s="41"/>
      <c r="D79" s="41"/>
      <c r="E79" s="41"/>
      <c r="F79" s="41"/>
      <c r="G79" s="41"/>
      <c r="H79" s="41"/>
      <c r="I79" s="41"/>
      <c r="J79" s="41"/>
      <c r="K79" s="50"/>
      <c r="L79" s="50"/>
      <c r="M79" s="50"/>
      <c r="N79" s="50"/>
      <c r="O79" s="50"/>
      <c r="P79" s="50"/>
      <c r="Q79" s="50"/>
      <c r="R79" s="50"/>
    </row>
    <row r="80" spans="1:18" s="29" customFormat="1" x14ac:dyDescent="0.15">
      <c r="A80" s="66"/>
      <c r="B80" s="41"/>
      <c r="C80" s="41"/>
      <c r="D80" s="41"/>
      <c r="E80" s="41"/>
      <c r="F80" s="41"/>
      <c r="G80" s="41"/>
      <c r="H80" s="41"/>
      <c r="I80" s="41"/>
      <c r="J80" s="41"/>
      <c r="K80" s="50"/>
      <c r="L80" s="50"/>
      <c r="M80" s="50"/>
      <c r="N80" s="50"/>
      <c r="O80" s="50"/>
      <c r="P80" s="50"/>
      <c r="Q80" s="50"/>
      <c r="R80" s="50"/>
    </row>
    <row r="81" spans="1:18" s="29" customFormat="1" x14ac:dyDescent="0.15">
      <c r="A81" s="66"/>
      <c r="B81" s="41"/>
      <c r="C81" s="41"/>
      <c r="D81" s="41"/>
      <c r="E81" s="41"/>
      <c r="F81" s="41"/>
      <c r="G81" s="41"/>
      <c r="H81" s="41"/>
      <c r="I81" s="41"/>
      <c r="J81" s="41"/>
      <c r="K81" s="50"/>
      <c r="L81" s="50"/>
      <c r="M81" s="50"/>
      <c r="N81" s="50"/>
      <c r="O81" s="50"/>
      <c r="P81" s="50"/>
      <c r="Q81" s="50"/>
      <c r="R81" s="50"/>
    </row>
    <row r="82" spans="1:18" s="29" customFormat="1" x14ac:dyDescent="0.15">
      <c r="A82" s="66"/>
      <c r="B82" s="41"/>
      <c r="C82" s="41"/>
      <c r="D82" s="41"/>
      <c r="E82" s="41"/>
      <c r="F82" s="41"/>
      <c r="G82" s="41"/>
      <c r="H82" s="41"/>
      <c r="I82" s="41"/>
      <c r="J82" s="41"/>
      <c r="K82" s="50"/>
      <c r="L82" s="50"/>
      <c r="M82" s="50"/>
      <c r="N82" s="50"/>
      <c r="O82" s="50"/>
      <c r="P82" s="50"/>
      <c r="Q82" s="50"/>
      <c r="R82" s="50"/>
    </row>
    <row r="83" spans="1:18" s="29" customFormat="1" x14ac:dyDescent="0.15">
      <c r="A83" s="66"/>
      <c r="B83" s="41"/>
      <c r="C83" s="41"/>
      <c r="D83" s="41"/>
      <c r="E83" s="41"/>
      <c r="F83" s="41"/>
      <c r="G83" s="41"/>
      <c r="H83" s="41"/>
      <c r="I83" s="41"/>
      <c r="J83" s="41"/>
      <c r="K83" s="50"/>
      <c r="L83" s="50"/>
      <c r="M83" s="50"/>
      <c r="N83" s="50"/>
      <c r="O83" s="50"/>
      <c r="P83" s="50"/>
      <c r="Q83" s="50"/>
      <c r="R83" s="50"/>
    </row>
    <row r="84" spans="1:18" s="29" customFormat="1" x14ac:dyDescent="0.15">
      <c r="A84" s="66"/>
      <c r="B84" s="41"/>
      <c r="C84" s="41"/>
      <c r="D84" s="41"/>
      <c r="E84" s="41"/>
      <c r="F84" s="41"/>
      <c r="G84" s="41"/>
      <c r="H84" s="41"/>
      <c r="I84" s="41"/>
      <c r="J84" s="41"/>
      <c r="K84" s="50"/>
      <c r="L84" s="50"/>
      <c r="M84" s="50"/>
      <c r="N84" s="50"/>
      <c r="O84" s="50"/>
      <c r="P84" s="50"/>
      <c r="Q84" s="50"/>
      <c r="R84" s="50"/>
    </row>
    <row r="85" spans="1:18" s="29" customFormat="1" x14ac:dyDescent="0.15">
      <c r="A85" s="66"/>
      <c r="B85" s="41"/>
      <c r="C85" s="41"/>
      <c r="D85" s="41"/>
      <c r="E85" s="41"/>
      <c r="F85" s="41"/>
      <c r="G85" s="41"/>
      <c r="H85" s="41"/>
      <c r="I85" s="41"/>
      <c r="J85" s="41"/>
      <c r="K85" s="50"/>
      <c r="L85" s="50"/>
      <c r="M85" s="50"/>
      <c r="N85" s="50"/>
      <c r="O85" s="50"/>
      <c r="P85" s="50"/>
      <c r="Q85" s="50"/>
      <c r="R85" s="50"/>
    </row>
    <row r="86" spans="1:18" s="29" customFormat="1" x14ac:dyDescent="0.15">
      <c r="A86" s="66"/>
      <c r="B86" s="41"/>
      <c r="C86" s="41"/>
      <c r="D86" s="41"/>
      <c r="E86" s="41"/>
      <c r="F86" s="41"/>
      <c r="G86" s="41"/>
      <c r="H86" s="41"/>
      <c r="I86" s="41"/>
      <c r="J86" s="41"/>
      <c r="K86" s="50"/>
      <c r="L86" s="50"/>
      <c r="M86" s="50"/>
      <c r="N86" s="50"/>
      <c r="O86" s="50"/>
      <c r="P86" s="50"/>
      <c r="Q86" s="50"/>
      <c r="R86" s="50"/>
    </row>
    <row r="87" spans="1:18" s="29" customFormat="1" x14ac:dyDescent="0.15">
      <c r="A87" s="66"/>
      <c r="B87" s="41"/>
      <c r="C87" s="41"/>
      <c r="D87" s="41"/>
      <c r="E87" s="41"/>
      <c r="F87" s="41"/>
      <c r="G87" s="41"/>
      <c r="H87" s="41"/>
      <c r="I87" s="41"/>
      <c r="J87" s="41"/>
      <c r="K87" s="50"/>
      <c r="L87" s="50"/>
      <c r="M87" s="50"/>
      <c r="N87" s="50"/>
      <c r="O87" s="50"/>
      <c r="P87" s="50"/>
      <c r="Q87" s="50"/>
      <c r="R87" s="50"/>
    </row>
    <row r="88" spans="1:18" s="29" customFormat="1" x14ac:dyDescent="0.15">
      <c r="A88" s="66"/>
      <c r="B88" s="41"/>
      <c r="C88" s="41"/>
      <c r="D88" s="41"/>
      <c r="E88" s="41"/>
      <c r="F88" s="41"/>
      <c r="G88" s="41"/>
      <c r="H88" s="41"/>
      <c r="I88" s="41"/>
      <c r="J88" s="41"/>
      <c r="K88" s="50"/>
      <c r="L88" s="50"/>
      <c r="M88" s="50"/>
      <c r="N88" s="50"/>
      <c r="O88" s="50"/>
      <c r="P88" s="50"/>
      <c r="Q88" s="50"/>
      <c r="R88" s="50"/>
    </row>
    <row r="89" spans="1:18" s="29" customFormat="1" x14ac:dyDescent="0.15">
      <c r="A89" s="66"/>
      <c r="B89" s="41"/>
      <c r="C89" s="41"/>
      <c r="D89" s="41"/>
      <c r="E89" s="41"/>
      <c r="F89" s="41"/>
      <c r="G89" s="41"/>
      <c r="H89" s="41"/>
      <c r="I89" s="41"/>
      <c r="J89" s="41"/>
      <c r="K89" s="50"/>
      <c r="L89" s="50"/>
      <c r="M89" s="50"/>
      <c r="N89" s="50"/>
      <c r="O89" s="50"/>
      <c r="P89" s="50"/>
      <c r="Q89" s="50"/>
      <c r="R89" s="50"/>
    </row>
    <row r="90" spans="1:18" s="29" customFormat="1" x14ac:dyDescent="0.15">
      <c r="A90" s="66"/>
      <c r="B90" s="41"/>
      <c r="C90" s="41"/>
      <c r="D90" s="41"/>
      <c r="E90" s="41"/>
      <c r="F90" s="41"/>
      <c r="G90" s="41"/>
      <c r="H90" s="41"/>
      <c r="I90" s="41"/>
      <c r="J90" s="41"/>
      <c r="K90" s="50"/>
      <c r="L90" s="50"/>
      <c r="M90" s="50"/>
      <c r="N90" s="50"/>
      <c r="O90" s="50"/>
      <c r="P90" s="50"/>
      <c r="Q90" s="50"/>
      <c r="R90" s="50"/>
    </row>
    <row r="91" spans="1:18" x14ac:dyDescent="0.15">
      <c r="B91" s="41"/>
      <c r="C91" s="41"/>
      <c r="D91" s="41"/>
      <c r="E91" s="41"/>
      <c r="F91" s="41"/>
      <c r="G91" s="41"/>
      <c r="H91" s="41"/>
      <c r="I91" s="41"/>
      <c r="J91" s="41"/>
    </row>
    <row r="92" spans="1:18" x14ac:dyDescent="0.15">
      <c r="B92" s="41"/>
      <c r="C92" s="41"/>
      <c r="D92" s="41"/>
      <c r="E92" s="41"/>
      <c r="F92" s="41"/>
      <c r="G92" s="41"/>
      <c r="H92" s="41"/>
      <c r="I92" s="41"/>
      <c r="J92" s="41"/>
    </row>
    <row r="93" spans="1:18" x14ac:dyDescent="0.15">
      <c r="B93" s="41"/>
      <c r="C93" s="41"/>
      <c r="D93" s="41"/>
      <c r="E93" s="41"/>
      <c r="F93" s="41"/>
      <c r="G93" s="41"/>
      <c r="H93" s="41"/>
      <c r="I93" s="41"/>
      <c r="J93" s="41"/>
    </row>
    <row r="94" spans="1:18" x14ac:dyDescent="0.15">
      <c r="B94" s="41"/>
      <c r="C94" s="41"/>
      <c r="D94" s="41"/>
      <c r="E94" s="41"/>
      <c r="F94" s="41"/>
      <c r="G94" s="41"/>
      <c r="H94" s="41"/>
      <c r="I94" s="41"/>
      <c r="J94" s="41"/>
    </row>
    <row r="95" spans="1:18" x14ac:dyDescent="0.15">
      <c r="B95" s="41"/>
      <c r="C95" s="41"/>
      <c r="D95" s="41"/>
      <c r="E95" s="41"/>
      <c r="F95" s="41"/>
      <c r="G95" s="41"/>
      <c r="H95" s="41"/>
      <c r="I95" s="41"/>
      <c r="J95" s="41"/>
    </row>
    <row r="96" spans="1:18" x14ac:dyDescent="0.15">
      <c r="B96" s="41"/>
      <c r="C96" s="41"/>
      <c r="D96" s="41"/>
      <c r="E96" s="41"/>
      <c r="F96" s="41"/>
      <c r="G96" s="41"/>
      <c r="H96" s="41"/>
      <c r="I96" s="41"/>
      <c r="J96" s="41"/>
    </row>
    <row r="97" spans="2:12" x14ac:dyDescent="0.15">
      <c r="B97" s="41"/>
      <c r="C97" s="41"/>
      <c r="D97" s="41"/>
      <c r="E97" s="41"/>
      <c r="F97" s="41"/>
      <c r="G97" s="41"/>
      <c r="H97" s="41"/>
      <c r="I97" s="41"/>
      <c r="J97" s="41"/>
    </row>
    <row r="98" spans="2:12" x14ac:dyDescent="0.15">
      <c r="B98" s="41"/>
      <c r="C98" s="41"/>
      <c r="D98" s="41"/>
      <c r="E98" s="41"/>
      <c r="F98" s="41"/>
      <c r="G98" s="41"/>
      <c r="H98" s="41"/>
      <c r="I98" s="41"/>
      <c r="J98" s="41"/>
    </row>
    <row r="99" spans="2:12" x14ac:dyDescent="0.15">
      <c r="B99" s="41"/>
      <c r="C99" s="41"/>
      <c r="D99" s="41"/>
      <c r="E99" s="41"/>
      <c r="F99" s="41"/>
      <c r="G99" s="41"/>
      <c r="H99" s="41"/>
      <c r="I99" s="41"/>
      <c r="J99" s="41"/>
    </row>
    <row r="100" spans="2:12" x14ac:dyDescent="0.15">
      <c r="B100" s="41"/>
      <c r="C100" s="41"/>
      <c r="D100" s="41"/>
      <c r="E100" s="41"/>
      <c r="F100" s="41"/>
      <c r="G100" s="41"/>
      <c r="H100" s="41"/>
      <c r="I100" s="41"/>
      <c r="J100" s="41"/>
    </row>
    <row r="101" spans="2:12" x14ac:dyDescent="0.15">
      <c r="B101" s="41"/>
      <c r="C101" s="41"/>
      <c r="D101" s="41"/>
      <c r="E101" s="41"/>
      <c r="F101" s="41"/>
      <c r="G101" s="41"/>
      <c r="H101" s="41"/>
      <c r="I101" s="41"/>
      <c r="J101" s="41"/>
    </row>
    <row r="102" spans="2:12" x14ac:dyDescent="0.15">
      <c r="B102" s="41"/>
      <c r="C102" s="41"/>
      <c r="D102" s="41"/>
      <c r="E102" s="41"/>
      <c r="F102" s="41"/>
      <c r="G102" s="41"/>
      <c r="H102" s="41"/>
      <c r="I102" s="41"/>
      <c r="J102" s="41"/>
    </row>
    <row r="103" spans="2:12" x14ac:dyDescent="0.15">
      <c r="B103" s="41"/>
      <c r="C103" s="41"/>
      <c r="D103" s="41"/>
      <c r="E103" s="41"/>
      <c r="F103" s="41"/>
      <c r="G103" s="41"/>
      <c r="H103" s="41"/>
      <c r="I103" s="41"/>
      <c r="J103" s="41"/>
    </row>
    <row r="104" spans="2:12" x14ac:dyDescent="0.15">
      <c r="B104" s="41"/>
      <c r="C104" s="41"/>
      <c r="D104" s="41"/>
      <c r="E104" s="41"/>
      <c r="F104" s="41"/>
      <c r="G104" s="41"/>
      <c r="H104" s="41"/>
      <c r="I104" s="41"/>
      <c r="J104" s="41"/>
    </row>
    <row r="105" spans="2:12" x14ac:dyDescent="0.15">
      <c r="B105" s="41" t="str">
        <f>IF(ISERROR(VLOOKUP($A105,通讯录!$A:$M,3,FALSE)&amp;""),"",VLOOKUP($A105,通讯录!$A:$M,3,FALSE)&amp;"")</f>
        <v/>
      </c>
      <c r="C105" s="41" t="str">
        <f>IF(ISERROR(VLOOKUP($A105,通讯录!$A:$M,7,FALSE)&amp;""),"",VLOOKUP($A105,通讯录!$A:$M,7,FALSE)&amp;"")</f>
        <v/>
      </c>
      <c r="D105" s="41" t="str">
        <f>IF(ISERROR(VLOOKUP($A105,通讯录!$A:$M,5,FALSE)&amp;""),"",VLOOKUP($A105,通讯录!$A:$M,5,FALSE)&amp;"")</f>
        <v/>
      </c>
      <c r="E105" s="41" t="str">
        <f>IF(ISERROR(VLOOKUP($A105,通讯录!$A:$M,6,FALSE)&amp;""),"",VLOOKUP($A105,通讯录!$A:$M,6,FALSE)&amp;"")</f>
        <v/>
      </c>
      <c r="F105" s="41" t="str">
        <f>IF(ISERROR(VLOOKUP($A105,通讯录!$A:$M,4,FALSE)&amp;""),"",VLOOKUP($A105,通讯录!$A:$M,4,FALSE)&amp;"")</f>
        <v/>
      </c>
      <c r="G105" s="41" t="str">
        <f>IF(ISERROR(VLOOKUP($A105,通讯录!$A:$M,8,FALSE)&amp;""),"",VLOOKUP($A105,通讯录!$A:$M,8,FALSE)&amp;"")</f>
        <v/>
      </c>
      <c r="H105" s="41"/>
      <c r="I105" s="41"/>
      <c r="J105" s="41"/>
      <c r="L105" s="28" t="str">
        <f t="shared" ref="L105:L114" si="0">LEFT(A105,1)</f>
        <v/>
      </c>
    </row>
    <row r="106" spans="2:12" x14ac:dyDescent="0.15">
      <c r="B106" s="41" t="str">
        <f>IF(ISERROR(VLOOKUP($A106,通讯录!$A:$M,3,FALSE)&amp;""),"",VLOOKUP($A106,通讯录!$A:$M,3,FALSE)&amp;"")</f>
        <v/>
      </c>
      <c r="C106" s="41" t="str">
        <f>IF(ISERROR(VLOOKUP($A106,通讯录!$A:$M,7,FALSE)&amp;""),"",VLOOKUP($A106,通讯录!$A:$M,7,FALSE)&amp;"")</f>
        <v/>
      </c>
      <c r="D106" s="41" t="str">
        <f>IF(ISERROR(VLOOKUP($A106,通讯录!$A:$M,5,FALSE)&amp;""),"",VLOOKUP($A106,通讯录!$A:$M,5,FALSE)&amp;"")</f>
        <v/>
      </c>
      <c r="E106" s="41" t="str">
        <f>IF(ISERROR(VLOOKUP($A106,通讯录!$A:$M,6,FALSE)&amp;""),"",VLOOKUP($A106,通讯录!$A:$M,6,FALSE)&amp;"")</f>
        <v/>
      </c>
      <c r="F106" s="41" t="str">
        <f>IF(ISERROR(VLOOKUP($A106,通讯录!$A:$M,4,FALSE)&amp;""),"",VLOOKUP($A106,通讯录!$A:$M,4,FALSE)&amp;"")</f>
        <v/>
      </c>
      <c r="G106" s="41" t="str">
        <f>IF(ISERROR(VLOOKUP($A106,通讯录!$A:$M,8,FALSE)&amp;""),"",VLOOKUP($A106,通讯录!$A:$M,8,FALSE)&amp;"")</f>
        <v/>
      </c>
      <c r="H106" s="41"/>
      <c r="I106" s="41"/>
      <c r="J106" s="41"/>
      <c r="L106" s="28" t="str">
        <f t="shared" si="0"/>
        <v/>
      </c>
    </row>
    <row r="107" spans="2:12" x14ac:dyDescent="0.15">
      <c r="B107" s="41" t="str">
        <f>IF(ISERROR(VLOOKUP($A107,通讯录!$A:$M,3,FALSE)&amp;""),"",VLOOKUP($A107,通讯录!$A:$M,3,FALSE)&amp;"")</f>
        <v/>
      </c>
      <c r="C107" s="41" t="str">
        <f>IF(ISERROR(VLOOKUP($A107,通讯录!$A:$M,7,FALSE)&amp;""),"",VLOOKUP($A107,通讯录!$A:$M,7,FALSE)&amp;"")</f>
        <v/>
      </c>
      <c r="D107" s="41" t="str">
        <f>IF(ISERROR(VLOOKUP($A107,通讯录!$A:$M,5,FALSE)&amp;""),"",VLOOKUP($A107,通讯录!$A:$M,5,FALSE)&amp;"")</f>
        <v/>
      </c>
      <c r="E107" s="41" t="str">
        <f>IF(ISERROR(VLOOKUP($A107,通讯录!$A:$M,6,FALSE)&amp;""),"",VLOOKUP($A107,通讯录!$A:$M,6,FALSE)&amp;"")</f>
        <v/>
      </c>
      <c r="F107" s="41" t="str">
        <f>IF(ISERROR(VLOOKUP($A107,通讯录!$A:$M,4,FALSE)&amp;""),"",VLOOKUP($A107,通讯录!$A:$M,4,FALSE)&amp;"")</f>
        <v/>
      </c>
      <c r="G107" s="41" t="str">
        <f>IF(ISERROR(VLOOKUP($A107,通讯录!$A:$M,8,FALSE)&amp;""),"",VLOOKUP($A107,通讯录!$A:$M,8,FALSE)&amp;"")</f>
        <v/>
      </c>
      <c r="H107" s="41"/>
      <c r="I107" s="41"/>
      <c r="J107" s="41"/>
      <c r="L107" s="28" t="str">
        <f t="shared" si="0"/>
        <v/>
      </c>
    </row>
    <row r="108" spans="2:12" x14ac:dyDescent="0.15">
      <c r="B108" s="41" t="str">
        <f>IF(ISERROR(VLOOKUP($A108,通讯录!$A:$M,3,FALSE)&amp;""),"",VLOOKUP($A108,通讯录!$A:$M,3,FALSE)&amp;"")</f>
        <v/>
      </c>
      <c r="C108" s="41" t="str">
        <f>IF(ISERROR(VLOOKUP($A108,通讯录!$A:$M,7,FALSE)&amp;""),"",VLOOKUP($A108,通讯录!$A:$M,7,FALSE)&amp;"")</f>
        <v/>
      </c>
      <c r="D108" s="41" t="str">
        <f>IF(ISERROR(VLOOKUP($A108,通讯录!$A:$M,5,FALSE)&amp;""),"",VLOOKUP($A108,通讯录!$A:$M,5,FALSE)&amp;"")</f>
        <v/>
      </c>
      <c r="E108" s="41" t="str">
        <f>IF(ISERROR(VLOOKUP($A108,通讯录!$A:$M,6,FALSE)&amp;""),"",VLOOKUP($A108,通讯录!$A:$M,6,FALSE)&amp;"")</f>
        <v/>
      </c>
      <c r="F108" s="41" t="str">
        <f>IF(ISERROR(VLOOKUP($A108,通讯录!$A:$M,4,FALSE)&amp;""),"",VLOOKUP($A108,通讯录!$A:$M,4,FALSE)&amp;"")</f>
        <v/>
      </c>
      <c r="G108" s="41" t="str">
        <f>IF(ISERROR(VLOOKUP($A108,通讯录!$A:$M,8,FALSE)&amp;""),"",VLOOKUP($A108,通讯录!$A:$M,8,FALSE)&amp;"")</f>
        <v/>
      </c>
      <c r="H108" s="41"/>
      <c r="I108" s="41"/>
      <c r="J108" s="41"/>
      <c r="L108" s="28" t="str">
        <f t="shared" si="0"/>
        <v/>
      </c>
    </row>
    <row r="109" spans="2:12" x14ac:dyDescent="0.15">
      <c r="B109" s="41" t="str">
        <f>IF(ISERROR(VLOOKUP($A109,通讯录!$A:$M,3,FALSE)&amp;""),"",VLOOKUP($A109,通讯录!$A:$M,3,FALSE)&amp;"")</f>
        <v/>
      </c>
      <c r="C109" s="41" t="str">
        <f>IF(ISERROR(VLOOKUP($A109,通讯录!$A:$M,7,FALSE)&amp;""),"",VLOOKUP($A109,通讯录!$A:$M,7,FALSE)&amp;"")</f>
        <v/>
      </c>
      <c r="D109" s="41" t="str">
        <f>IF(ISERROR(VLOOKUP($A109,通讯录!$A:$M,5,FALSE)&amp;""),"",VLOOKUP($A109,通讯录!$A:$M,5,FALSE)&amp;"")</f>
        <v/>
      </c>
      <c r="E109" s="41" t="str">
        <f>IF(ISERROR(VLOOKUP($A109,通讯录!$A:$M,6,FALSE)&amp;""),"",VLOOKUP($A109,通讯录!$A:$M,6,FALSE)&amp;"")</f>
        <v/>
      </c>
      <c r="F109" s="41" t="str">
        <f>IF(ISERROR(VLOOKUP($A109,通讯录!$A:$M,4,FALSE)&amp;""),"",VLOOKUP($A109,通讯录!$A:$M,4,FALSE)&amp;"")</f>
        <v/>
      </c>
      <c r="G109" s="41" t="str">
        <f>IF(ISERROR(VLOOKUP($A109,通讯录!$A:$M,8,FALSE)&amp;""),"",VLOOKUP($A109,通讯录!$A:$M,8,FALSE)&amp;"")</f>
        <v/>
      </c>
      <c r="H109" s="41"/>
      <c r="I109" s="41"/>
      <c r="J109" s="41"/>
      <c r="L109" s="28" t="str">
        <f t="shared" si="0"/>
        <v/>
      </c>
    </row>
    <row r="110" spans="2:12" x14ac:dyDescent="0.15">
      <c r="B110" s="41" t="str">
        <f>IF(ISERROR(VLOOKUP($A110,通讯录!$A:$M,3,FALSE)&amp;""),"",VLOOKUP($A110,通讯录!$A:$M,3,FALSE)&amp;"")</f>
        <v/>
      </c>
      <c r="C110" s="41" t="str">
        <f>IF(ISERROR(VLOOKUP($A110,通讯录!$A:$M,7,FALSE)&amp;""),"",VLOOKUP($A110,通讯录!$A:$M,7,FALSE)&amp;"")</f>
        <v/>
      </c>
      <c r="D110" s="41" t="str">
        <f>IF(ISERROR(VLOOKUP($A110,通讯录!$A:$M,5,FALSE)&amp;""),"",VLOOKUP($A110,通讯录!$A:$M,5,FALSE)&amp;"")</f>
        <v/>
      </c>
      <c r="E110" s="41" t="str">
        <f>IF(ISERROR(VLOOKUP($A110,通讯录!$A:$M,6,FALSE)&amp;""),"",VLOOKUP($A110,通讯录!$A:$M,6,FALSE)&amp;"")</f>
        <v/>
      </c>
      <c r="F110" s="41" t="str">
        <f>IF(ISERROR(VLOOKUP($A110,通讯录!$A:$M,4,FALSE)&amp;""),"",VLOOKUP($A110,通讯录!$A:$M,4,FALSE)&amp;"")</f>
        <v/>
      </c>
      <c r="G110" s="41" t="str">
        <f>IF(ISERROR(VLOOKUP($A110,通讯录!$A:$M,8,FALSE)&amp;""),"",VLOOKUP($A110,通讯录!$A:$M,8,FALSE)&amp;"")</f>
        <v/>
      </c>
      <c r="H110" s="41"/>
      <c r="I110" s="41"/>
      <c r="J110" s="41"/>
      <c r="L110" s="28" t="str">
        <f t="shared" si="0"/>
        <v/>
      </c>
    </row>
    <row r="111" spans="2:12" x14ac:dyDescent="0.15">
      <c r="B111" s="41" t="str">
        <f>IF(ISERROR(VLOOKUP($A111,通讯录!$A:$M,3,FALSE)&amp;""),"",VLOOKUP($A111,通讯录!$A:$M,3,FALSE)&amp;"")</f>
        <v/>
      </c>
      <c r="C111" s="41" t="str">
        <f>IF(ISERROR(VLOOKUP($A111,通讯录!$A:$M,7,FALSE)&amp;""),"",VLOOKUP($A111,通讯录!$A:$M,7,FALSE)&amp;"")</f>
        <v/>
      </c>
      <c r="D111" s="41" t="str">
        <f>IF(ISERROR(VLOOKUP($A111,通讯录!$A:$M,5,FALSE)&amp;""),"",VLOOKUP($A111,通讯录!$A:$M,5,FALSE)&amp;"")</f>
        <v/>
      </c>
      <c r="E111" s="41" t="str">
        <f>IF(ISERROR(VLOOKUP($A111,通讯录!$A:$M,6,FALSE)&amp;""),"",VLOOKUP($A111,通讯录!$A:$M,6,FALSE)&amp;"")</f>
        <v/>
      </c>
      <c r="F111" s="41" t="str">
        <f>IF(ISERROR(VLOOKUP($A111,通讯录!$A:$M,4,FALSE)&amp;""),"",VLOOKUP($A111,通讯录!$A:$M,4,FALSE)&amp;"")</f>
        <v/>
      </c>
      <c r="G111" s="41" t="str">
        <f>IF(ISERROR(VLOOKUP($A111,通讯录!$A:$M,8,FALSE)&amp;""),"",VLOOKUP($A111,通讯录!$A:$M,8,FALSE)&amp;"")</f>
        <v/>
      </c>
      <c r="H111" s="41"/>
      <c r="I111" s="41"/>
      <c r="J111" s="41"/>
      <c r="L111" s="28" t="str">
        <f t="shared" si="0"/>
        <v/>
      </c>
    </row>
    <row r="112" spans="2:12" x14ac:dyDescent="0.15">
      <c r="B112" s="41" t="str">
        <f>IF(ISERROR(VLOOKUP($A112,通讯录!$A:$M,3,FALSE)&amp;""),"",VLOOKUP($A112,通讯录!$A:$M,3,FALSE)&amp;"")</f>
        <v/>
      </c>
      <c r="C112" s="41" t="str">
        <f>IF(ISERROR(VLOOKUP($A112,通讯录!$A:$M,7,FALSE)&amp;""),"",VLOOKUP($A112,通讯录!$A:$M,7,FALSE)&amp;"")</f>
        <v/>
      </c>
      <c r="D112" s="41" t="str">
        <f>IF(ISERROR(VLOOKUP($A112,通讯录!$A:$M,5,FALSE)&amp;""),"",VLOOKUP($A112,通讯录!$A:$M,5,FALSE)&amp;"")</f>
        <v/>
      </c>
      <c r="E112" s="41" t="str">
        <f>IF(ISERROR(VLOOKUP($A112,通讯录!$A:$M,6,FALSE)&amp;""),"",VLOOKUP($A112,通讯录!$A:$M,6,FALSE)&amp;"")</f>
        <v/>
      </c>
      <c r="F112" s="41" t="str">
        <f>IF(ISERROR(VLOOKUP($A112,通讯录!$A:$M,4,FALSE)&amp;""),"",VLOOKUP($A112,通讯录!$A:$M,4,FALSE)&amp;"")</f>
        <v/>
      </c>
      <c r="G112" s="41" t="str">
        <f>IF(ISERROR(VLOOKUP($A112,通讯录!$A:$M,8,FALSE)&amp;""),"",VLOOKUP($A112,通讯录!$A:$M,8,FALSE)&amp;"")</f>
        <v/>
      </c>
      <c r="H112" s="41"/>
      <c r="I112" s="41"/>
      <c r="J112" s="41"/>
      <c r="L112" s="28" t="str">
        <f t="shared" si="0"/>
        <v/>
      </c>
    </row>
    <row r="113" spans="2:12" x14ac:dyDescent="0.15">
      <c r="B113" s="41" t="str">
        <f>IF(ISERROR(VLOOKUP($A113,通讯录!$A:$M,3,FALSE)&amp;""),"",VLOOKUP($A113,通讯录!$A:$M,3,FALSE)&amp;"")</f>
        <v/>
      </c>
      <c r="C113" s="41" t="str">
        <f>IF(ISERROR(VLOOKUP($A113,通讯录!$A:$M,7,FALSE)&amp;""),"",VLOOKUP($A113,通讯录!$A:$M,7,FALSE)&amp;"")</f>
        <v/>
      </c>
      <c r="D113" s="41" t="str">
        <f>IF(ISERROR(VLOOKUP($A113,通讯录!$A:$M,5,FALSE)&amp;""),"",VLOOKUP($A113,通讯录!$A:$M,5,FALSE)&amp;"")</f>
        <v/>
      </c>
      <c r="E113" s="41" t="str">
        <f>IF(ISERROR(VLOOKUP($A113,通讯录!$A:$M,6,FALSE)&amp;""),"",VLOOKUP($A113,通讯录!$A:$M,6,FALSE)&amp;"")</f>
        <v/>
      </c>
      <c r="F113" s="41" t="str">
        <f>IF(ISERROR(VLOOKUP($A113,通讯录!$A:$M,4,FALSE)&amp;""),"",VLOOKUP($A113,通讯录!$A:$M,4,FALSE)&amp;"")</f>
        <v/>
      </c>
      <c r="G113" s="41" t="str">
        <f>IF(ISERROR(VLOOKUP($A113,通讯录!$A:$M,8,FALSE)&amp;""),"",VLOOKUP($A113,通讯录!$A:$M,8,FALSE)&amp;"")</f>
        <v/>
      </c>
      <c r="H113" s="41"/>
      <c r="I113" s="41"/>
      <c r="J113" s="41"/>
      <c r="L113" s="28" t="str">
        <f t="shared" si="0"/>
        <v/>
      </c>
    </row>
    <row r="114" spans="2:12" x14ac:dyDescent="0.15">
      <c r="B114" s="41" t="str">
        <f>IF(ISERROR(VLOOKUP($A114,通讯录!$A:$M,3,FALSE)&amp;""),"",VLOOKUP($A114,通讯录!$A:$M,3,FALSE)&amp;"")</f>
        <v/>
      </c>
      <c r="C114" s="41" t="str">
        <f>IF(ISERROR(VLOOKUP($A114,通讯录!$A:$M,7,FALSE)&amp;""),"",VLOOKUP($A114,通讯录!$A:$M,7,FALSE)&amp;"")</f>
        <v/>
      </c>
      <c r="D114" s="41" t="str">
        <f>IF(ISERROR(VLOOKUP($A114,通讯录!$A:$M,5,FALSE)&amp;""),"",VLOOKUP($A114,通讯录!$A:$M,5,FALSE)&amp;"")</f>
        <v/>
      </c>
      <c r="E114" s="41" t="str">
        <f>IF(ISERROR(VLOOKUP($A114,通讯录!$A:$M,6,FALSE)&amp;""),"",VLOOKUP($A114,通讯录!$A:$M,6,FALSE)&amp;"")</f>
        <v/>
      </c>
      <c r="F114" s="41" t="str">
        <f>IF(ISERROR(VLOOKUP($A114,通讯录!$A:$M,4,FALSE)&amp;""),"",VLOOKUP($A114,通讯录!$A:$M,4,FALSE)&amp;"")</f>
        <v/>
      </c>
      <c r="G114" s="41" t="str">
        <f>IF(ISERROR(VLOOKUP($A114,通讯录!$A:$M,8,FALSE)&amp;""),"",VLOOKUP($A114,通讯录!$A:$M,8,FALSE)&amp;"")</f>
        <v/>
      </c>
      <c r="H114" s="41"/>
      <c r="I114" s="41"/>
      <c r="J114" s="41"/>
      <c r="L114" s="28" t="str">
        <f t="shared" si="0"/>
        <v/>
      </c>
    </row>
    <row r="115" spans="2:12" x14ac:dyDescent="0.15">
      <c r="B115" s="41" t="str">
        <f>IF(ISERROR(VLOOKUP($A115,通讯录!$A:$M,3,FALSE)&amp;""),"",VLOOKUP($A115,通讯录!$A:$M,3,FALSE)&amp;"")</f>
        <v/>
      </c>
      <c r="C115" s="41" t="str">
        <f>IF(ISERROR(VLOOKUP($A115,通讯录!$A:$M,7,FALSE)&amp;""),"",VLOOKUP($A115,通讯录!$A:$M,7,FALSE)&amp;"")</f>
        <v/>
      </c>
      <c r="D115" s="41" t="str">
        <f>IF(ISERROR(VLOOKUP($A115,通讯录!$A:$M,5,FALSE)&amp;""),"",VLOOKUP($A115,通讯录!$A:$M,5,FALSE)&amp;"")</f>
        <v/>
      </c>
      <c r="E115" s="41" t="str">
        <f>IF(ISERROR(VLOOKUP($A115,通讯录!$A:$M,6,FALSE)&amp;""),"",VLOOKUP($A115,通讯录!$A:$M,6,FALSE)&amp;"")</f>
        <v/>
      </c>
      <c r="F115" s="41" t="str">
        <f>IF(ISERROR(VLOOKUP($A115,通讯录!$A:$M,4,FALSE)&amp;""),"",VLOOKUP($A115,通讯录!$A:$M,4,FALSE)&amp;"")</f>
        <v/>
      </c>
      <c r="G115" s="41" t="str">
        <f>IF(ISERROR(VLOOKUP($A115,通讯录!$A:$M,8,FALSE)&amp;""),"",VLOOKUP($A115,通讯录!$A:$M,8,FALSE)&amp;"")</f>
        <v/>
      </c>
      <c r="H115" s="41"/>
      <c r="I115" s="41"/>
      <c r="J115" s="41"/>
      <c r="L115" s="28" t="str">
        <f t="shared" ref="L115:L178" si="1">LEFT(A115,1)</f>
        <v/>
      </c>
    </row>
    <row r="116" spans="2:12" x14ac:dyDescent="0.15">
      <c r="B116" s="41" t="str">
        <f>IF(ISERROR(VLOOKUP($A116,通讯录!$A:$M,3,FALSE)&amp;""),"",VLOOKUP($A116,通讯录!$A:$M,3,FALSE)&amp;"")</f>
        <v/>
      </c>
      <c r="C116" s="41" t="str">
        <f>IF(ISERROR(VLOOKUP($A116,通讯录!$A:$M,7,FALSE)&amp;""),"",VLOOKUP($A116,通讯录!$A:$M,7,FALSE)&amp;"")</f>
        <v/>
      </c>
      <c r="D116" s="41" t="str">
        <f>IF(ISERROR(VLOOKUP($A116,通讯录!$A:$M,5,FALSE)&amp;""),"",VLOOKUP($A116,通讯录!$A:$M,5,FALSE)&amp;"")</f>
        <v/>
      </c>
      <c r="E116" s="41" t="str">
        <f>IF(ISERROR(VLOOKUP($A116,通讯录!$A:$M,6,FALSE)&amp;""),"",VLOOKUP($A116,通讯录!$A:$M,6,FALSE)&amp;"")</f>
        <v/>
      </c>
      <c r="F116" s="41" t="str">
        <f>IF(ISERROR(VLOOKUP($A116,通讯录!$A:$M,4,FALSE)&amp;""),"",VLOOKUP($A116,通讯录!$A:$M,4,FALSE)&amp;"")</f>
        <v/>
      </c>
      <c r="G116" s="41" t="str">
        <f>IF(ISERROR(VLOOKUP($A116,通讯录!$A:$M,8,FALSE)&amp;""),"",VLOOKUP($A116,通讯录!$A:$M,8,FALSE)&amp;"")</f>
        <v/>
      </c>
      <c r="H116" s="41"/>
      <c r="I116" s="41"/>
      <c r="J116" s="41"/>
      <c r="L116" s="28" t="str">
        <f t="shared" si="1"/>
        <v/>
      </c>
    </row>
    <row r="117" spans="2:12" x14ac:dyDescent="0.15">
      <c r="B117" s="41" t="str">
        <f>IF(ISERROR(VLOOKUP($A117,通讯录!$A:$M,3,FALSE)&amp;""),"",VLOOKUP($A117,通讯录!$A:$M,3,FALSE)&amp;"")</f>
        <v/>
      </c>
      <c r="C117" s="41" t="str">
        <f>IF(ISERROR(VLOOKUP($A117,通讯录!$A:$M,7,FALSE)&amp;""),"",VLOOKUP($A117,通讯录!$A:$M,7,FALSE)&amp;"")</f>
        <v/>
      </c>
      <c r="D117" s="41" t="str">
        <f>IF(ISERROR(VLOOKUP($A117,通讯录!$A:$M,5,FALSE)&amp;""),"",VLOOKUP($A117,通讯录!$A:$M,5,FALSE)&amp;"")</f>
        <v/>
      </c>
      <c r="E117" s="41" t="str">
        <f>IF(ISERROR(VLOOKUP($A117,通讯录!$A:$M,6,FALSE)&amp;""),"",VLOOKUP($A117,通讯录!$A:$M,6,FALSE)&amp;"")</f>
        <v/>
      </c>
      <c r="F117" s="41" t="str">
        <f>IF(ISERROR(VLOOKUP($A117,通讯录!$A:$M,4,FALSE)&amp;""),"",VLOOKUP($A117,通讯录!$A:$M,4,FALSE)&amp;"")</f>
        <v/>
      </c>
      <c r="G117" s="41" t="str">
        <f>IF(ISERROR(VLOOKUP($A117,通讯录!$A:$M,8,FALSE)&amp;""),"",VLOOKUP($A117,通讯录!$A:$M,8,FALSE)&amp;"")</f>
        <v/>
      </c>
      <c r="H117" s="41"/>
      <c r="I117" s="41"/>
      <c r="J117" s="41"/>
      <c r="L117" s="28" t="str">
        <f t="shared" si="1"/>
        <v/>
      </c>
    </row>
    <row r="118" spans="2:12" x14ac:dyDescent="0.15">
      <c r="B118" s="41" t="str">
        <f>IF(ISERROR(VLOOKUP($A118,通讯录!$A:$M,3,FALSE)&amp;""),"",VLOOKUP($A118,通讯录!$A:$M,3,FALSE)&amp;"")</f>
        <v/>
      </c>
      <c r="C118" s="41" t="str">
        <f>IF(ISERROR(VLOOKUP($A118,通讯录!$A:$M,7,FALSE)&amp;""),"",VLOOKUP($A118,通讯录!$A:$M,7,FALSE)&amp;"")</f>
        <v/>
      </c>
      <c r="D118" s="41" t="str">
        <f>IF(ISERROR(VLOOKUP($A118,通讯录!$A:$M,5,FALSE)&amp;""),"",VLOOKUP($A118,通讯录!$A:$M,5,FALSE)&amp;"")</f>
        <v/>
      </c>
      <c r="E118" s="41" t="str">
        <f>IF(ISERROR(VLOOKUP($A118,通讯录!$A:$M,6,FALSE)&amp;""),"",VLOOKUP($A118,通讯录!$A:$M,6,FALSE)&amp;"")</f>
        <v/>
      </c>
      <c r="F118" s="41" t="str">
        <f>IF(ISERROR(VLOOKUP($A118,通讯录!$A:$M,4,FALSE)&amp;""),"",VLOOKUP($A118,通讯录!$A:$M,4,FALSE)&amp;"")</f>
        <v/>
      </c>
      <c r="G118" s="41" t="str">
        <f>IF(ISERROR(VLOOKUP($A118,通讯录!$A:$M,8,FALSE)&amp;""),"",VLOOKUP($A118,通讯录!$A:$M,8,FALSE)&amp;"")</f>
        <v/>
      </c>
      <c r="H118" s="41"/>
      <c r="I118" s="41"/>
      <c r="J118" s="41"/>
      <c r="L118" s="28" t="str">
        <f t="shared" si="1"/>
        <v/>
      </c>
    </row>
    <row r="119" spans="2:12" x14ac:dyDescent="0.15">
      <c r="B119" s="41" t="str">
        <f>IF(ISERROR(VLOOKUP($A119,通讯录!$A:$M,3,FALSE)&amp;""),"",VLOOKUP($A119,通讯录!$A:$M,3,FALSE)&amp;"")</f>
        <v/>
      </c>
      <c r="C119" s="41" t="str">
        <f>IF(ISERROR(VLOOKUP($A119,通讯录!$A:$M,7,FALSE)&amp;""),"",VLOOKUP($A119,通讯录!$A:$M,7,FALSE)&amp;"")</f>
        <v/>
      </c>
      <c r="D119" s="41" t="str">
        <f>IF(ISERROR(VLOOKUP($A119,通讯录!$A:$M,5,FALSE)&amp;""),"",VLOOKUP($A119,通讯录!$A:$M,5,FALSE)&amp;"")</f>
        <v/>
      </c>
      <c r="E119" s="41" t="str">
        <f>IF(ISERROR(VLOOKUP($A119,通讯录!$A:$M,6,FALSE)&amp;""),"",VLOOKUP($A119,通讯录!$A:$M,6,FALSE)&amp;"")</f>
        <v/>
      </c>
      <c r="F119" s="41" t="str">
        <f>IF(ISERROR(VLOOKUP($A119,通讯录!$A:$M,4,FALSE)&amp;""),"",VLOOKUP($A119,通讯录!$A:$M,4,FALSE)&amp;"")</f>
        <v/>
      </c>
      <c r="G119" s="41" t="str">
        <f>IF(ISERROR(VLOOKUP($A119,通讯录!$A:$M,8,FALSE)&amp;""),"",VLOOKUP($A119,通讯录!$A:$M,8,FALSE)&amp;"")</f>
        <v/>
      </c>
      <c r="H119" s="41"/>
      <c r="I119" s="41"/>
      <c r="J119" s="41"/>
      <c r="L119" s="28" t="str">
        <f t="shared" si="1"/>
        <v/>
      </c>
    </row>
    <row r="120" spans="2:12" x14ac:dyDescent="0.15">
      <c r="B120" s="41" t="str">
        <f>IF(ISERROR(VLOOKUP($A120,通讯录!$A:$M,3,FALSE)&amp;""),"",VLOOKUP($A120,通讯录!$A:$M,3,FALSE)&amp;"")</f>
        <v/>
      </c>
      <c r="C120" s="41" t="str">
        <f>IF(ISERROR(VLOOKUP($A120,通讯录!$A:$M,7,FALSE)&amp;""),"",VLOOKUP($A120,通讯录!$A:$M,7,FALSE)&amp;"")</f>
        <v/>
      </c>
      <c r="D120" s="41" t="str">
        <f>IF(ISERROR(VLOOKUP($A120,通讯录!$A:$M,5,FALSE)&amp;""),"",VLOOKUP($A120,通讯录!$A:$M,5,FALSE)&amp;"")</f>
        <v/>
      </c>
      <c r="E120" s="41" t="str">
        <f>IF(ISERROR(VLOOKUP($A120,通讯录!$A:$M,6,FALSE)&amp;""),"",VLOOKUP($A120,通讯录!$A:$M,6,FALSE)&amp;"")</f>
        <v/>
      </c>
      <c r="F120" s="41" t="str">
        <f>IF(ISERROR(VLOOKUP($A120,通讯录!$A:$M,4,FALSE)&amp;""),"",VLOOKUP($A120,通讯录!$A:$M,4,FALSE)&amp;"")</f>
        <v/>
      </c>
      <c r="G120" s="41" t="str">
        <f>IF(ISERROR(VLOOKUP($A120,通讯录!$A:$M,8,FALSE)&amp;""),"",VLOOKUP($A120,通讯录!$A:$M,8,FALSE)&amp;"")</f>
        <v/>
      </c>
      <c r="H120" s="41"/>
      <c r="I120" s="41"/>
      <c r="J120" s="41"/>
      <c r="L120" s="28" t="str">
        <f t="shared" si="1"/>
        <v/>
      </c>
    </row>
    <row r="121" spans="2:12" x14ac:dyDescent="0.15">
      <c r="B121" s="41" t="str">
        <f>IF(ISERROR(VLOOKUP($A121,通讯录!$A:$M,3,FALSE)&amp;""),"",VLOOKUP($A121,通讯录!$A:$M,3,FALSE)&amp;"")</f>
        <v/>
      </c>
      <c r="C121" s="41" t="str">
        <f>IF(ISERROR(VLOOKUP($A121,通讯录!$A:$M,7,FALSE)&amp;""),"",VLOOKUP($A121,通讯录!$A:$M,7,FALSE)&amp;"")</f>
        <v/>
      </c>
      <c r="D121" s="41" t="str">
        <f>IF(ISERROR(VLOOKUP($A121,通讯录!$A:$M,5,FALSE)&amp;""),"",VLOOKUP($A121,通讯录!$A:$M,5,FALSE)&amp;"")</f>
        <v/>
      </c>
      <c r="E121" s="41" t="str">
        <f>IF(ISERROR(VLOOKUP($A121,通讯录!$A:$M,6,FALSE)&amp;""),"",VLOOKUP($A121,通讯录!$A:$M,6,FALSE)&amp;"")</f>
        <v/>
      </c>
      <c r="F121" s="41" t="str">
        <f>IF(ISERROR(VLOOKUP($A121,通讯录!$A:$M,4,FALSE)&amp;""),"",VLOOKUP($A121,通讯录!$A:$M,4,FALSE)&amp;"")</f>
        <v/>
      </c>
      <c r="G121" s="41" t="str">
        <f>IF(ISERROR(VLOOKUP($A121,通讯录!$A:$M,8,FALSE)&amp;""),"",VLOOKUP($A121,通讯录!$A:$M,8,FALSE)&amp;"")</f>
        <v/>
      </c>
      <c r="H121" s="41"/>
      <c r="I121" s="41"/>
      <c r="J121" s="41"/>
      <c r="L121" s="28" t="str">
        <f t="shared" si="1"/>
        <v/>
      </c>
    </row>
    <row r="122" spans="2:12" x14ac:dyDescent="0.15">
      <c r="B122" s="41" t="str">
        <f>IF(ISERROR(VLOOKUP($A122,通讯录!$A:$M,3,FALSE)&amp;""),"",VLOOKUP($A122,通讯录!$A:$M,3,FALSE)&amp;"")</f>
        <v/>
      </c>
      <c r="C122" s="41" t="str">
        <f>IF(ISERROR(VLOOKUP($A122,通讯录!$A:$M,7,FALSE)&amp;""),"",VLOOKUP($A122,通讯录!$A:$M,7,FALSE)&amp;"")</f>
        <v/>
      </c>
      <c r="D122" s="41" t="str">
        <f>IF(ISERROR(VLOOKUP($A122,通讯录!$A:$M,5,FALSE)&amp;""),"",VLOOKUP($A122,通讯录!$A:$M,5,FALSE)&amp;"")</f>
        <v/>
      </c>
      <c r="E122" s="41" t="str">
        <f>IF(ISERROR(VLOOKUP($A122,通讯录!$A:$M,6,FALSE)&amp;""),"",VLOOKUP($A122,通讯录!$A:$M,6,FALSE)&amp;"")</f>
        <v/>
      </c>
      <c r="F122" s="41" t="str">
        <f>IF(ISERROR(VLOOKUP($A122,通讯录!$A:$M,4,FALSE)&amp;""),"",VLOOKUP($A122,通讯录!$A:$M,4,FALSE)&amp;"")</f>
        <v/>
      </c>
      <c r="G122" s="41" t="str">
        <f>IF(ISERROR(VLOOKUP($A122,通讯录!$A:$M,8,FALSE)&amp;""),"",VLOOKUP($A122,通讯录!$A:$M,8,FALSE)&amp;"")</f>
        <v/>
      </c>
      <c r="H122" s="41"/>
      <c r="I122" s="41"/>
      <c r="J122" s="41"/>
      <c r="L122" s="28" t="str">
        <f t="shared" si="1"/>
        <v/>
      </c>
    </row>
    <row r="123" spans="2:12" x14ac:dyDescent="0.15">
      <c r="B123" s="41" t="str">
        <f>IF(ISERROR(VLOOKUP($A123,通讯录!$A:$M,3,FALSE)&amp;""),"",VLOOKUP($A123,通讯录!$A:$M,3,FALSE)&amp;"")</f>
        <v/>
      </c>
      <c r="C123" s="41" t="str">
        <f>IF(ISERROR(VLOOKUP($A123,通讯录!$A:$M,7,FALSE)&amp;""),"",VLOOKUP($A123,通讯录!$A:$M,7,FALSE)&amp;"")</f>
        <v/>
      </c>
      <c r="D123" s="41" t="str">
        <f>IF(ISERROR(VLOOKUP($A123,通讯录!$A:$M,5,FALSE)&amp;""),"",VLOOKUP($A123,通讯录!$A:$M,5,FALSE)&amp;"")</f>
        <v/>
      </c>
      <c r="E123" s="41" t="str">
        <f>IF(ISERROR(VLOOKUP($A123,通讯录!$A:$M,6,FALSE)&amp;""),"",VLOOKUP($A123,通讯录!$A:$M,6,FALSE)&amp;"")</f>
        <v/>
      </c>
      <c r="F123" s="41" t="str">
        <f>IF(ISERROR(VLOOKUP($A123,通讯录!$A:$M,4,FALSE)&amp;""),"",VLOOKUP($A123,通讯录!$A:$M,4,FALSE)&amp;"")</f>
        <v/>
      </c>
      <c r="G123" s="41" t="str">
        <f>IF(ISERROR(VLOOKUP($A123,通讯录!$A:$M,8,FALSE)&amp;""),"",VLOOKUP($A123,通讯录!$A:$M,8,FALSE)&amp;"")</f>
        <v/>
      </c>
      <c r="H123" s="41"/>
      <c r="I123" s="41"/>
      <c r="J123" s="41"/>
      <c r="L123" s="28" t="str">
        <f t="shared" si="1"/>
        <v/>
      </c>
    </row>
    <row r="124" spans="2:12" x14ac:dyDescent="0.15">
      <c r="B124" s="41" t="str">
        <f>IF(ISERROR(VLOOKUP($A124,通讯录!$A:$M,3,FALSE)&amp;""),"",VLOOKUP($A124,通讯录!$A:$M,3,FALSE)&amp;"")</f>
        <v/>
      </c>
      <c r="C124" s="41" t="str">
        <f>IF(ISERROR(VLOOKUP($A124,通讯录!$A:$M,7,FALSE)&amp;""),"",VLOOKUP($A124,通讯录!$A:$M,7,FALSE)&amp;"")</f>
        <v/>
      </c>
      <c r="D124" s="41" t="str">
        <f>IF(ISERROR(VLOOKUP($A124,通讯录!$A:$M,5,FALSE)&amp;""),"",VLOOKUP($A124,通讯录!$A:$M,5,FALSE)&amp;"")</f>
        <v/>
      </c>
      <c r="E124" s="41" t="str">
        <f>IF(ISERROR(VLOOKUP($A124,通讯录!$A:$M,6,FALSE)&amp;""),"",VLOOKUP($A124,通讯录!$A:$M,6,FALSE)&amp;"")</f>
        <v/>
      </c>
      <c r="F124" s="41" t="str">
        <f>IF(ISERROR(VLOOKUP($A124,通讯录!$A:$M,4,FALSE)&amp;""),"",VLOOKUP($A124,通讯录!$A:$M,4,FALSE)&amp;"")</f>
        <v/>
      </c>
      <c r="G124" s="41" t="str">
        <f>IF(ISERROR(VLOOKUP($A124,通讯录!$A:$M,8,FALSE)&amp;""),"",VLOOKUP($A124,通讯录!$A:$M,8,FALSE)&amp;"")</f>
        <v/>
      </c>
      <c r="H124" s="41"/>
      <c r="I124" s="41"/>
      <c r="J124" s="41"/>
      <c r="L124" s="28" t="str">
        <f t="shared" si="1"/>
        <v/>
      </c>
    </row>
    <row r="125" spans="2:12" x14ac:dyDescent="0.15">
      <c r="B125" s="41" t="str">
        <f>IF(ISERROR(VLOOKUP($A125,通讯录!$A:$M,3,FALSE)&amp;""),"",VLOOKUP($A125,通讯录!$A:$M,3,FALSE)&amp;"")</f>
        <v/>
      </c>
      <c r="C125" s="41" t="str">
        <f>IF(ISERROR(VLOOKUP($A125,通讯录!$A:$M,7,FALSE)&amp;""),"",VLOOKUP($A125,通讯录!$A:$M,7,FALSE)&amp;"")</f>
        <v/>
      </c>
      <c r="D125" s="41" t="str">
        <f>IF(ISERROR(VLOOKUP($A125,通讯录!$A:$M,5,FALSE)&amp;""),"",VLOOKUP($A125,通讯录!$A:$M,5,FALSE)&amp;"")</f>
        <v/>
      </c>
      <c r="E125" s="41" t="str">
        <f>IF(ISERROR(VLOOKUP($A125,通讯录!$A:$M,6,FALSE)&amp;""),"",VLOOKUP($A125,通讯录!$A:$M,6,FALSE)&amp;"")</f>
        <v/>
      </c>
      <c r="F125" s="41" t="str">
        <f>IF(ISERROR(VLOOKUP($A125,通讯录!$A:$M,4,FALSE)&amp;""),"",VLOOKUP($A125,通讯录!$A:$M,4,FALSE)&amp;"")</f>
        <v/>
      </c>
      <c r="G125" s="41" t="str">
        <f>IF(ISERROR(VLOOKUP($A125,通讯录!$A:$M,8,FALSE)&amp;""),"",VLOOKUP($A125,通讯录!$A:$M,8,FALSE)&amp;"")</f>
        <v/>
      </c>
      <c r="H125" s="41"/>
      <c r="I125" s="41"/>
      <c r="J125" s="41"/>
      <c r="L125" s="28" t="str">
        <f t="shared" si="1"/>
        <v/>
      </c>
    </row>
    <row r="126" spans="2:12" x14ac:dyDescent="0.15">
      <c r="B126" s="41" t="str">
        <f>IF(ISERROR(VLOOKUP($A126,通讯录!$A:$M,3,FALSE)&amp;""),"",VLOOKUP($A126,通讯录!$A:$M,3,FALSE)&amp;"")</f>
        <v/>
      </c>
      <c r="C126" s="41" t="str">
        <f>IF(ISERROR(VLOOKUP($A126,通讯录!$A:$M,7,FALSE)&amp;""),"",VLOOKUP($A126,通讯录!$A:$M,7,FALSE)&amp;"")</f>
        <v/>
      </c>
      <c r="D126" s="41" t="str">
        <f>IF(ISERROR(VLOOKUP($A126,通讯录!$A:$M,5,FALSE)&amp;""),"",VLOOKUP($A126,通讯录!$A:$M,5,FALSE)&amp;"")</f>
        <v/>
      </c>
      <c r="E126" s="41" t="str">
        <f>IF(ISERROR(VLOOKUP($A126,通讯录!$A:$M,6,FALSE)&amp;""),"",VLOOKUP($A126,通讯录!$A:$M,6,FALSE)&amp;"")</f>
        <v/>
      </c>
      <c r="F126" s="41" t="str">
        <f>IF(ISERROR(VLOOKUP($A126,通讯录!$A:$M,4,FALSE)&amp;""),"",VLOOKUP($A126,通讯录!$A:$M,4,FALSE)&amp;"")</f>
        <v/>
      </c>
      <c r="G126" s="41" t="str">
        <f>IF(ISERROR(VLOOKUP($A126,通讯录!$A:$M,8,FALSE)&amp;""),"",VLOOKUP($A126,通讯录!$A:$M,8,FALSE)&amp;"")</f>
        <v/>
      </c>
      <c r="H126" s="41"/>
      <c r="I126" s="41"/>
      <c r="J126" s="41"/>
      <c r="L126" s="28" t="str">
        <f t="shared" si="1"/>
        <v/>
      </c>
    </row>
    <row r="127" spans="2:12" x14ac:dyDescent="0.15">
      <c r="B127" s="41" t="str">
        <f>IF(ISERROR(VLOOKUP($A127,通讯录!$A:$M,3,FALSE)&amp;""),"",VLOOKUP($A127,通讯录!$A:$M,3,FALSE)&amp;"")</f>
        <v/>
      </c>
      <c r="C127" s="41" t="str">
        <f>IF(ISERROR(VLOOKUP($A127,通讯录!$A:$M,7,FALSE)&amp;""),"",VLOOKUP($A127,通讯录!$A:$M,7,FALSE)&amp;"")</f>
        <v/>
      </c>
      <c r="D127" s="41" t="str">
        <f>IF(ISERROR(VLOOKUP($A127,通讯录!$A:$M,5,FALSE)&amp;""),"",VLOOKUP($A127,通讯录!$A:$M,5,FALSE)&amp;"")</f>
        <v/>
      </c>
      <c r="E127" s="41" t="str">
        <f>IF(ISERROR(VLOOKUP($A127,通讯录!$A:$M,6,FALSE)&amp;""),"",VLOOKUP($A127,通讯录!$A:$M,6,FALSE)&amp;"")</f>
        <v/>
      </c>
      <c r="F127" s="41" t="str">
        <f>IF(ISERROR(VLOOKUP($A127,通讯录!$A:$M,4,FALSE)&amp;""),"",VLOOKUP($A127,通讯录!$A:$M,4,FALSE)&amp;"")</f>
        <v/>
      </c>
      <c r="G127" s="41" t="str">
        <f>IF(ISERROR(VLOOKUP($A127,通讯录!$A:$M,8,FALSE)&amp;""),"",VLOOKUP($A127,通讯录!$A:$M,8,FALSE)&amp;"")</f>
        <v/>
      </c>
      <c r="H127" s="41"/>
      <c r="I127" s="41"/>
      <c r="J127" s="41"/>
      <c r="L127" s="28" t="str">
        <f t="shared" si="1"/>
        <v/>
      </c>
    </row>
    <row r="128" spans="2:12" x14ac:dyDescent="0.15">
      <c r="B128" s="41" t="str">
        <f>IF(ISERROR(VLOOKUP($A128,通讯录!$A:$M,3,FALSE)&amp;""),"",VLOOKUP($A128,通讯录!$A:$M,3,FALSE)&amp;"")</f>
        <v/>
      </c>
      <c r="C128" s="41" t="str">
        <f>IF(ISERROR(VLOOKUP($A128,通讯录!$A:$M,7,FALSE)&amp;""),"",VLOOKUP($A128,通讯录!$A:$M,7,FALSE)&amp;"")</f>
        <v/>
      </c>
      <c r="D128" s="41" t="str">
        <f>IF(ISERROR(VLOOKUP($A128,通讯录!$A:$M,5,FALSE)&amp;""),"",VLOOKUP($A128,通讯录!$A:$M,5,FALSE)&amp;"")</f>
        <v/>
      </c>
      <c r="E128" s="41" t="str">
        <f>IF(ISERROR(VLOOKUP($A128,通讯录!$A:$M,6,FALSE)&amp;""),"",VLOOKUP($A128,通讯录!$A:$M,6,FALSE)&amp;"")</f>
        <v/>
      </c>
      <c r="F128" s="41" t="str">
        <f>IF(ISERROR(VLOOKUP($A128,通讯录!$A:$M,4,FALSE)&amp;""),"",VLOOKUP($A128,通讯录!$A:$M,4,FALSE)&amp;"")</f>
        <v/>
      </c>
      <c r="G128" s="41" t="str">
        <f>IF(ISERROR(VLOOKUP($A128,通讯录!$A:$M,8,FALSE)&amp;""),"",VLOOKUP($A128,通讯录!$A:$M,8,FALSE)&amp;"")</f>
        <v/>
      </c>
      <c r="H128" s="41"/>
      <c r="I128" s="41"/>
      <c r="J128" s="41"/>
      <c r="L128" s="28" t="str">
        <f t="shared" si="1"/>
        <v/>
      </c>
    </row>
    <row r="129" spans="2:12" x14ac:dyDescent="0.15">
      <c r="B129" s="41" t="str">
        <f>IF(ISERROR(VLOOKUP($A129,通讯录!$A:$M,3,FALSE)&amp;""),"",VLOOKUP($A129,通讯录!$A:$M,3,FALSE)&amp;"")</f>
        <v/>
      </c>
      <c r="C129" s="41" t="str">
        <f>IF(ISERROR(VLOOKUP($A129,通讯录!$A:$M,7,FALSE)&amp;""),"",VLOOKUP($A129,通讯录!$A:$M,7,FALSE)&amp;"")</f>
        <v/>
      </c>
      <c r="D129" s="41" t="str">
        <f>IF(ISERROR(VLOOKUP($A129,通讯录!$A:$M,5,FALSE)&amp;""),"",VLOOKUP($A129,通讯录!$A:$M,5,FALSE)&amp;"")</f>
        <v/>
      </c>
      <c r="E129" s="41" t="str">
        <f>IF(ISERROR(VLOOKUP($A129,通讯录!$A:$M,6,FALSE)&amp;""),"",VLOOKUP($A129,通讯录!$A:$M,6,FALSE)&amp;"")</f>
        <v/>
      </c>
      <c r="F129" s="41" t="str">
        <f>IF(ISERROR(VLOOKUP($A129,通讯录!$A:$M,4,FALSE)&amp;""),"",VLOOKUP($A129,通讯录!$A:$M,4,FALSE)&amp;"")</f>
        <v/>
      </c>
      <c r="G129" s="41" t="str">
        <f>IF(ISERROR(VLOOKUP($A129,通讯录!$A:$M,8,FALSE)&amp;""),"",VLOOKUP($A129,通讯录!$A:$M,8,FALSE)&amp;"")</f>
        <v/>
      </c>
      <c r="H129" s="41"/>
      <c r="I129" s="41"/>
      <c r="J129" s="41"/>
      <c r="L129" s="28" t="str">
        <f t="shared" si="1"/>
        <v/>
      </c>
    </row>
    <row r="130" spans="2:12" x14ac:dyDescent="0.15">
      <c r="B130" s="41" t="str">
        <f>IF(ISERROR(VLOOKUP($A130,通讯录!$A:$M,3,FALSE)&amp;""),"",VLOOKUP($A130,通讯录!$A:$M,3,FALSE)&amp;"")</f>
        <v/>
      </c>
      <c r="C130" s="41" t="str">
        <f>IF(ISERROR(VLOOKUP($A130,通讯录!$A:$M,7,FALSE)&amp;""),"",VLOOKUP($A130,通讯录!$A:$M,7,FALSE)&amp;"")</f>
        <v/>
      </c>
      <c r="D130" s="41" t="str">
        <f>IF(ISERROR(VLOOKUP($A130,通讯录!$A:$M,5,FALSE)&amp;""),"",VLOOKUP($A130,通讯录!$A:$M,5,FALSE)&amp;"")</f>
        <v/>
      </c>
      <c r="E130" s="41" t="str">
        <f>IF(ISERROR(VLOOKUP($A130,通讯录!$A:$M,6,FALSE)&amp;""),"",VLOOKUP($A130,通讯录!$A:$M,6,FALSE)&amp;"")</f>
        <v/>
      </c>
      <c r="F130" s="41" t="str">
        <f>IF(ISERROR(VLOOKUP($A130,通讯录!$A:$M,4,FALSE)&amp;""),"",VLOOKUP($A130,通讯录!$A:$M,4,FALSE)&amp;"")</f>
        <v/>
      </c>
      <c r="G130" s="41" t="str">
        <f>IF(ISERROR(VLOOKUP($A130,通讯录!$A:$M,8,FALSE)&amp;""),"",VLOOKUP($A130,通讯录!$A:$M,8,FALSE)&amp;"")</f>
        <v/>
      </c>
      <c r="H130" s="41"/>
      <c r="I130" s="41"/>
      <c r="J130" s="41"/>
      <c r="L130" s="28" t="str">
        <f t="shared" si="1"/>
        <v/>
      </c>
    </row>
    <row r="131" spans="2:12" x14ac:dyDescent="0.15">
      <c r="B131" s="41" t="str">
        <f>IF(ISERROR(VLOOKUP($A131,通讯录!$A:$M,3,FALSE)&amp;""),"",VLOOKUP($A131,通讯录!$A:$M,3,FALSE)&amp;"")</f>
        <v/>
      </c>
      <c r="C131" s="41" t="str">
        <f>IF(ISERROR(VLOOKUP($A131,通讯录!$A:$M,7,FALSE)&amp;""),"",VLOOKUP($A131,通讯录!$A:$M,7,FALSE)&amp;"")</f>
        <v/>
      </c>
      <c r="D131" s="41" t="str">
        <f>IF(ISERROR(VLOOKUP($A131,通讯录!$A:$M,5,FALSE)&amp;""),"",VLOOKUP($A131,通讯录!$A:$M,5,FALSE)&amp;"")</f>
        <v/>
      </c>
      <c r="E131" s="41" t="str">
        <f>IF(ISERROR(VLOOKUP($A131,通讯录!$A:$M,6,FALSE)&amp;""),"",VLOOKUP($A131,通讯录!$A:$M,6,FALSE)&amp;"")</f>
        <v/>
      </c>
      <c r="F131" s="41" t="str">
        <f>IF(ISERROR(VLOOKUP($A131,通讯录!$A:$M,4,FALSE)&amp;""),"",VLOOKUP($A131,通讯录!$A:$M,4,FALSE)&amp;"")</f>
        <v/>
      </c>
      <c r="G131" s="41" t="str">
        <f>IF(ISERROR(VLOOKUP($A131,通讯录!$A:$M,8,FALSE)&amp;""),"",VLOOKUP($A131,通讯录!$A:$M,8,FALSE)&amp;"")</f>
        <v/>
      </c>
      <c r="H131" s="41"/>
      <c r="I131" s="41"/>
      <c r="J131" s="41"/>
      <c r="L131" s="28" t="str">
        <f t="shared" si="1"/>
        <v/>
      </c>
    </row>
    <row r="132" spans="2:12" x14ac:dyDescent="0.15">
      <c r="B132" s="41" t="str">
        <f>IF(ISERROR(VLOOKUP($A132,通讯录!$A:$M,3,FALSE)&amp;""),"",VLOOKUP($A132,通讯录!$A:$M,3,FALSE)&amp;"")</f>
        <v/>
      </c>
      <c r="C132" s="41" t="str">
        <f>IF(ISERROR(VLOOKUP($A132,通讯录!$A:$M,7,FALSE)&amp;""),"",VLOOKUP($A132,通讯录!$A:$M,7,FALSE)&amp;"")</f>
        <v/>
      </c>
      <c r="D132" s="41" t="str">
        <f>IF(ISERROR(VLOOKUP($A132,通讯录!$A:$M,5,FALSE)&amp;""),"",VLOOKUP($A132,通讯录!$A:$M,5,FALSE)&amp;"")</f>
        <v/>
      </c>
      <c r="E132" s="41" t="str">
        <f>IF(ISERROR(VLOOKUP($A132,通讯录!$A:$M,6,FALSE)&amp;""),"",VLOOKUP($A132,通讯录!$A:$M,6,FALSE)&amp;"")</f>
        <v/>
      </c>
      <c r="F132" s="41" t="str">
        <f>IF(ISERROR(VLOOKUP($A132,通讯录!$A:$M,4,FALSE)&amp;""),"",VLOOKUP($A132,通讯录!$A:$M,4,FALSE)&amp;"")</f>
        <v/>
      </c>
      <c r="G132" s="41" t="str">
        <f>IF(ISERROR(VLOOKUP($A132,通讯录!$A:$M,8,FALSE)&amp;""),"",VLOOKUP($A132,通讯录!$A:$M,8,FALSE)&amp;"")</f>
        <v/>
      </c>
      <c r="H132" s="41"/>
      <c r="I132" s="41"/>
      <c r="J132" s="41"/>
      <c r="L132" s="28" t="str">
        <f t="shared" si="1"/>
        <v/>
      </c>
    </row>
    <row r="133" spans="2:12" x14ac:dyDescent="0.15">
      <c r="B133" s="41" t="str">
        <f>IF(ISERROR(VLOOKUP($A133,通讯录!$A:$M,3,FALSE)&amp;""),"",VLOOKUP($A133,通讯录!$A:$M,3,FALSE)&amp;"")</f>
        <v/>
      </c>
      <c r="C133" s="41" t="str">
        <f>IF(ISERROR(VLOOKUP($A133,通讯录!$A:$M,7,FALSE)&amp;""),"",VLOOKUP($A133,通讯录!$A:$M,7,FALSE)&amp;"")</f>
        <v/>
      </c>
      <c r="D133" s="41" t="str">
        <f>IF(ISERROR(VLOOKUP($A133,通讯录!$A:$M,5,FALSE)&amp;""),"",VLOOKUP($A133,通讯录!$A:$M,5,FALSE)&amp;"")</f>
        <v/>
      </c>
      <c r="E133" s="41" t="str">
        <f>IF(ISERROR(VLOOKUP($A133,通讯录!$A:$M,6,FALSE)&amp;""),"",VLOOKUP($A133,通讯录!$A:$M,6,FALSE)&amp;"")</f>
        <v/>
      </c>
      <c r="F133" s="41" t="str">
        <f>IF(ISERROR(VLOOKUP($A133,通讯录!$A:$M,4,FALSE)&amp;""),"",VLOOKUP($A133,通讯录!$A:$M,4,FALSE)&amp;"")</f>
        <v/>
      </c>
      <c r="G133" s="41" t="str">
        <f>IF(ISERROR(VLOOKUP($A133,通讯录!$A:$M,8,FALSE)&amp;""),"",VLOOKUP($A133,通讯录!$A:$M,8,FALSE)&amp;"")</f>
        <v/>
      </c>
      <c r="H133" s="41"/>
      <c r="I133" s="41"/>
      <c r="J133" s="41"/>
      <c r="L133" s="28" t="str">
        <f t="shared" si="1"/>
        <v/>
      </c>
    </row>
    <row r="134" spans="2:12" x14ac:dyDescent="0.15">
      <c r="B134" s="41" t="str">
        <f>IF(ISERROR(VLOOKUP($A134,通讯录!$A:$M,3,FALSE)&amp;""),"",VLOOKUP($A134,通讯录!$A:$M,3,FALSE)&amp;"")</f>
        <v/>
      </c>
      <c r="C134" s="41" t="str">
        <f>IF(ISERROR(VLOOKUP($A134,通讯录!$A:$M,7,FALSE)&amp;""),"",VLOOKUP($A134,通讯录!$A:$M,7,FALSE)&amp;"")</f>
        <v/>
      </c>
      <c r="D134" s="41" t="str">
        <f>IF(ISERROR(VLOOKUP($A134,通讯录!$A:$M,5,FALSE)&amp;""),"",VLOOKUP($A134,通讯录!$A:$M,5,FALSE)&amp;"")</f>
        <v/>
      </c>
      <c r="E134" s="41" t="str">
        <f>IF(ISERROR(VLOOKUP($A134,通讯录!$A:$M,6,FALSE)&amp;""),"",VLOOKUP($A134,通讯录!$A:$M,6,FALSE)&amp;"")</f>
        <v/>
      </c>
      <c r="F134" s="41" t="str">
        <f>IF(ISERROR(VLOOKUP($A134,通讯录!$A:$M,4,FALSE)&amp;""),"",VLOOKUP($A134,通讯录!$A:$M,4,FALSE)&amp;"")</f>
        <v/>
      </c>
      <c r="G134" s="41" t="str">
        <f>IF(ISERROR(VLOOKUP($A134,通讯录!$A:$M,8,FALSE)&amp;""),"",VLOOKUP($A134,通讯录!$A:$M,8,FALSE)&amp;"")</f>
        <v/>
      </c>
      <c r="H134" s="41"/>
      <c r="I134" s="41"/>
      <c r="J134" s="41"/>
      <c r="L134" s="28" t="str">
        <f t="shared" si="1"/>
        <v/>
      </c>
    </row>
    <row r="135" spans="2:12" x14ac:dyDescent="0.15">
      <c r="B135" s="41" t="str">
        <f>IF(ISERROR(VLOOKUP($A135,通讯录!$A:$M,3,FALSE)&amp;""),"",VLOOKUP($A135,通讯录!$A:$M,3,FALSE)&amp;"")</f>
        <v/>
      </c>
      <c r="C135" s="41" t="str">
        <f>IF(ISERROR(VLOOKUP($A135,通讯录!$A:$M,7,FALSE)&amp;""),"",VLOOKUP($A135,通讯录!$A:$M,7,FALSE)&amp;"")</f>
        <v/>
      </c>
      <c r="D135" s="41" t="str">
        <f>IF(ISERROR(VLOOKUP($A135,通讯录!$A:$M,5,FALSE)&amp;""),"",VLOOKUP($A135,通讯录!$A:$M,5,FALSE)&amp;"")</f>
        <v/>
      </c>
      <c r="E135" s="41" t="str">
        <f>IF(ISERROR(VLOOKUP($A135,通讯录!$A:$M,6,FALSE)&amp;""),"",VLOOKUP($A135,通讯录!$A:$M,6,FALSE)&amp;"")</f>
        <v/>
      </c>
      <c r="F135" s="41" t="str">
        <f>IF(ISERROR(VLOOKUP($A135,通讯录!$A:$M,4,FALSE)&amp;""),"",VLOOKUP($A135,通讯录!$A:$M,4,FALSE)&amp;"")</f>
        <v/>
      </c>
      <c r="G135" s="41" t="str">
        <f>IF(ISERROR(VLOOKUP($A135,通讯录!$A:$M,8,FALSE)&amp;""),"",VLOOKUP($A135,通讯录!$A:$M,8,FALSE)&amp;"")</f>
        <v/>
      </c>
      <c r="H135" s="41"/>
      <c r="I135" s="41"/>
      <c r="J135" s="41"/>
      <c r="L135" s="28" t="str">
        <f t="shared" si="1"/>
        <v/>
      </c>
    </row>
    <row r="136" spans="2:12" x14ac:dyDescent="0.15">
      <c r="B136" s="41" t="str">
        <f>IF(ISERROR(VLOOKUP($A136,通讯录!$A:$M,3,FALSE)&amp;""),"",VLOOKUP($A136,通讯录!$A:$M,3,FALSE)&amp;"")</f>
        <v/>
      </c>
      <c r="C136" s="41" t="str">
        <f>IF(ISERROR(VLOOKUP($A136,通讯录!$A:$M,7,FALSE)&amp;""),"",VLOOKUP($A136,通讯录!$A:$M,7,FALSE)&amp;"")</f>
        <v/>
      </c>
      <c r="D136" s="41" t="str">
        <f>IF(ISERROR(VLOOKUP($A136,通讯录!$A:$M,5,FALSE)&amp;""),"",VLOOKUP($A136,通讯录!$A:$M,5,FALSE)&amp;"")</f>
        <v/>
      </c>
      <c r="E136" s="41" t="str">
        <f>IF(ISERROR(VLOOKUP($A136,通讯录!$A:$M,6,FALSE)&amp;""),"",VLOOKUP($A136,通讯录!$A:$M,6,FALSE)&amp;"")</f>
        <v/>
      </c>
      <c r="F136" s="41" t="str">
        <f>IF(ISERROR(VLOOKUP($A136,通讯录!$A:$M,4,FALSE)&amp;""),"",VLOOKUP($A136,通讯录!$A:$M,4,FALSE)&amp;"")</f>
        <v/>
      </c>
      <c r="G136" s="41" t="str">
        <f>IF(ISERROR(VLOOKUP($A136,通讯录!$A:$M,8,FALSE)&amp;""),"",VLOOKUP($A136,通讯录!$A:$M,8,FALSE)&amp;"")</f>
        <v/>
      </c>
      <c r="H136" s="41"/>
      <c r="I136" s="41"/>
      <c r="J136" s="41"/>
      <c r="L136" s="28" t="str">
        <f t="shared" si="1"/>
        <v/>
      </c>
    </row>
    <row r="137" spans="2:12" x14ac:dyDescent="0.15">
      <c r="B137" s="41" t="str">
        <f>IF(ISERROR(VLOOKUP($A137,通讯录!$A:$M,3,FALSE)&amp;""),"",VLOOKUP($A137,通讯录!$A:$M,3,FALSE)&amp;"")</f>
        <v/>
      </c>
      <c r="C137" s="41" t="str">
        <f>IF(ISERROR(VLOOKUP($A137,通讯录!$A:$M,7,FALSE)&amp;""),"",VLOOKUP($A137,通讯录!$A:$M,7,FALSE)&amp;"")</f>
        <v/>
      </c>
      <c r="D137" s="41" t="str">
        <f>IF(ISERROR(VLOOKUP($A137,通讯录!$A:$M,5,FALSE)&amp;""),"",VLOOKUP($A137,通讯录!$A:$M,5,FALSE)&amp;"")</f>
        <v/>
      </c>
      <c r="E137" s="41" t="str">
        <f>IF(ISERROR(VLOOKUP($A137,通讯录!$A:$M,6,FALSE)&amp;""),"",VLOOKUP($A137,通讯录!$A:$M,6,FALSE)&amp;"")</f>
        <v/>
      </c>
      <c r="F137" s="41" t="str">
        <f>IF(ISERROR(VLOOKUP($A137,通讯录!$A:$M,4,FALSE)&amp;""),"",VLOOKUP($A137,通讯录!$A:$M,4,FALSE)&amp;"")</f>
        <v/>
      </c>
      <c r="G137" s="41" t="str">
        <f>IF(ISERROR(VLOOKUP($A137,通讯录!$A:$M,8,FALSE)&amp;""),"",VLOOKUP($A137,通讯录!$A:$M,8,FALSE)&amp;"")</f>
        <v/>
      </c>
      <c r="H137" s="41"/>
      <c r="I137" s="41"/>
      <c r="J137" s="41"/>
      <c r="L137" s="28" t="str">
        <f t="shared" si="1"/>
        <v/>
      </c>
    </row>
    <row r="138" spans="2:12" x14ac:dyDescent="0.15">
      <c r="B138" s="41" t="str">
        <f>IF(ISERROR(VLOOKUP($A138,通讯录!$A:$M,3,FALSE)&amp;""),"",VLOOKUP($A138,通讯录!$A:$M,3,FALSE)&amp;"")</f>
        <v/>
      </c>
      <c r="C138" s="41" t="str">
        <f>IF(ISERROR(VLOOKUP($A138,通讯录!$A:$M,7,FALSE)&amp;""),"",VLOOKUP($A138,通讯录!$A:$M,7,FALSE)&amp;"")</f>
        <v/>
      </c>
      <c r="D138" s="41" t="str">
        <f>IF(ISERROR(VLOOKUP($A138,通讯录!$A:$M,5,FALSE)&amp;""),"",VLOOKUP($A138,通讯录!$A:$M,5,FALSE)&amp;"")</f>
        <v/>
      </c>
      <c r="E138" s="41" t="str">
        <f>IF(ISERROR(VLOOKUP($A138,通讯录!$A:$M,6,FALSE)&amp;""),"",VLOOKUP($A138,通讯录!$A:$M,6,FALSE)&amp;"")</f>
        <v/>
      </c>
      <c r="F138" s="41" t="str">
        <f>IF(ISERROR(VLOOKUP($A138,通讯录!$A:$M,4,FALSE)&amp;""),"",VLOOKUP($A138,通讯录!$A:$M,4,FALSE)&amp;"")</f>
        <v/>
      </c>
      <c r="G138" s="41" t="str">
        <f>IF(ISERROR(VLOOKUP($A138,通讯录!$A:$M,8,FALSE)&amp;""),"",VLOOKUP($A138,通讯录!$A:$M,8,FALSE)&amp;"")</f>
        <v/>
      </c>
      <c r="H138" s="41"/>
      <c r="I138" s="41"/>
      <c r="J138" s="41"/>
      <c r="L138" s="28" t="str">
        <f t="shared" si="1"/>
        <v/>
      </c>
    </row>
    <row r="139" spans="2:12" x14ac:dyDescent="0.15">
      <c r="B139" s="41" t="str">
        <f>IF(ISERROR(VLOOKUP($A139,通讯录!$A:$M,3,FALSE)&amp;""),"",VLOOKUP($A139,通讯录!$A:$M,3,FALSE)&amp;"")</f>
        <v/>
      </c>
      <c r="C139" s="41" t="str">
        <f>IF(ISERROR(VLOOKUP($A139,通讯录!$A:$M,7,FALSE)&amp;""),"",VLOOKUP($A139,通讯录!$A:$M,7,FALSE)&amp;"")</f>
        <v/>
      </c>
      <c r="D139" s="41" t="str">
        <f>IF(ISERROR(VLOOKUP($A139,通讯录!$A:$M,5,FALSE)&amp;""),"",VLOOKUP($A139,通讯录!$A:$M,5,FALSE)&amp;"")</f>
        <v/>
      </c>
      <c r="E139" s="41" t="str">
        <f>IF(ISERROR(VLOOKUP($A139,通讯录!$A:$M,6,FALSE)&amp;""),"",VLOOKUP($A139,通讯录!$A:$M,6,FALSE)&amp;"")</f>
        <v/>
      </c>
      <c r="F139" s="41" t="str">
        <f>IF(ISERROR(VLOOKUP($A139,通讯录!$A:$M,4,FALSE)&amp;""),"",VLOOKUP($A139,通讯录!$A:$M,4,FALSE)&amp;"")</f>
        <v/>
      </c>
      <c r="G139" s="41" t="str">
        <f>IF(ISERROR(VLOOKUP($A139,通讯录!$A:$M,8,FALSE)&amp;""),"",VLOOKUP($A139,通讯录!$A:$M,8,FALSE)&amp;"")</f>
        <v/>
      </c>
      <c r="H139" s="41"/>
      <c r="I139" s="41"/>
      <c r="J139" s="41"/>
      <c r="L139" s="28" t="str">
        <f t="shared" si="1"/>
        <v/>
      </c>
    </row>
    <row r="140" spans="2:12" x14ac:dyDescent="0.15">
      <c r="B140" s="41" t="str">
        <f>IF(ISERROR(VLOOKUP($A140,通讯录!$A:$M,3,FALSE)&amp;""),"",VLOOKUP($A140,通讯录!$A:$M,3,FALSE)&amp;"")</f>
        <v/>
      </c>
      <c r="C140" s="41" t="str">
        <f>IF(ISERROR(VLOOKUP($A140,通讯录!$A:$M,7,FALSE)&amp;""),"",VLOOKUP($A140,通讯录!$A:$M,7,FALSE)&amp;"")</f>
        <v/>
      </c>
      <c r="D140" s="41" t="str">
        <f>IF(ISERROR(VLOOKUP($A140,通讯录!$A:$M,5,FALSE)&amp;""),"",VLOOKUP($A140,通讯录!$A:$M,5,FALSE)&amp;"")</f>
        <v/>
      </c>
      <c r="E140" s="41" t="str">
        <f>IF(ISERROR(VLOOKUP($A140,通讯录!$A:$M,6,FALSE)&amp;""),"",VLOOKUP($A140,通讯录!$A:$M,6,FALSE)&amp;"")</f>
        <v/>
      </c>
      <c r="F140" s="41" t="str">
        <f>IF(ISERROR(VLOOKUP($A140,通讯录!$A:$M,4,FALSE)&amp;""),"",VLOOKUP($A140,通讯录!$A:$M,4,FALSE)&amp;"")</f>
        <v/>
      </c>
      <c r="G140" s="41" t="str">
        <f>IF(ISERROR(VLOOKUP($A140,通讯录!$A:$M,8,FALSE)&amp;""),"",VLOOKUP($A140,通讯录!$A:$M,8,FALSE)&amp;"")</f>
        <v/>
      </c>
      <c r="H140" s="41"/>
      <c r="I140" s="41"/>
      <c r="J140" s="41"/>
      <c r="L140" s="28" t="str">
        <f t="shared" si="1"/>
        <v/>
      </c>
    </row>
    <row r="141" spans="2:12" x14ac:dyDescent="0.15">
      <c r="B141" s="41" t="str">
        <f>IF(ISERROR(VLOOKUP($A141,通讯录!$A:$M,3,FALSE)&amp;""),"",VLOOKUP($A141,通讯录!$A:$M,3,FALSE)&amp;"")</f>
        <v/>
      </c>
      <c r="C141" s="41" t="str">
        <f>IF(ISERROR(VLOOKUP($A141,通讯录!$A:$M,7,FALSE)&amp;""),"",VLOOKUP($A141,通讯录!$A:$M,7,FALSE)&amp;"")</f>
        <v/>
      </c>
      <c r="D141" s="41" t="str">
        <f>IF(ISERROR(VLOOKUP($A141,通讯录!$A:$M,5,FALSE)&amp;""),"",VLOOKUP($A141,通讯录!$A:$M,5,FALSE)&amp;"")</f>
        <v/>
      </c>
      <c r="E141" s="41" t="str">
        <f>IF(ISERROR(VLOOKUP($A141,通讯录!$A:$M,6,FALSE)&amp;""),"",VLOOKUP($A141,通讯录!$A:$M,6,FALSE)&amp;"")</f>
        <v/>
      </c>
      <c r="F141" s="41" t="str">
        <f>IF(ISERROR(VLOOKUP($A141,通讯录!$A:$M,4,FALSE)&amp;""),"",VLOOKUP($A141,通讯录!$A:$M,4,FALSE)&amp;"")</f>
        <v/>
      </c>
      <c r="G141" s="41" t="str">
        <f>IF(ISERROR(VLOOKUP($A141,通讯录!$A:$M,8,FALSE)&amp;""),"",VLOOKUP($A141,通讯录!$A:$M,8,FALSE)&amp;"")</f>
        <v/>
      </c>
      <c r="H141" s="41"/>
      <c r="I141" s="41"/>
      <c r="J141" s="41"/>
      <c r="L141" s="28" t="str">
        <f t="shared" si="1"/>
        <v/>
      </c>
    </row>
    <row r="142" spans="2:12" x14ac:dyDescent="0.15">
      <c r="B142" s="41" t="str">
        <f>IF(ISERROR(VLOOKUP($A142,通讯录!$A:$M,3,FALSE)&amp;""),"",VLOOKUP($A142,通讯录!$A:$M,3,FALSE)&amp;"")</f>
        <v/>
      </c>
      <c r="C142" s="41" t="str">
        <f>IF(ISERROR(VLOOKUP($A142,通讯录!$A:$M,7,FALSE)&amp;""),"",VLOOKUP($A142,通讯录!$A:$M,7,FALSE)&amp;"")</f>
        <v/>
      </c>
      <c r="D142" s="41" t="str">
        <f>IF(ISERROR(VLOOKUP($A142,通讯录!$A:$M,5,FALSE)&amp;""),"",VLOOKUP($A142,通讯录!$A:$M,5,FALSE)&amp;"")</f>
        <v/>
      </c>
      <c r="E142" s="41" t="str">
        <f>IF(ISERROR(VLOOKUP($A142,通讯录!$A:$M,6,FALSE)&amp;""),"",VLOOKUP($A142,通讯录!$A:$M,6,FALSE)&amp;"")</f>
        <v/>
      </c>
      <c r="F142" s="41" t="str">
        <f>IF(ISERROR(VLOOKUP($A142,通讯录!$A:$M,4,FALSE)&amp;""),"",VLOOKUP($A142,通讯录!$A:$M,4,FALSE)&amp;"")</f>
        <v/>
      </c>
      <c r="G142" s="41" t="str">
        <f>IF(ISERROR(VLOOKUP($A142,通讯录!$A:$M,8,FALSE)&amp;""),"",VLOOKUP($A142,通讯录!$A:$M,8,FALSE)&amp;"")</f>
        <v/>
      </c>
      <c r="H142" s="41"/>
      <c r="I142" s="41"/>
      <c r="J142" s="41"/>
      <c r="L142" s="28" t="str">
        <f t="shared" si="1"/>
        <v/>
      </c>
    </row>
    <row r="143" spans="2:12" x14ac:dyDescent="0.15">
      <c r="B143" s="41" t="str">
        <f>IF(ISERROR(VLOOKUP($A143,通讯录!$A:$M,3,FALSE)&amp;""),"",VLOOKUP($A143,通讯录!$A:$M,3,FALSE)&amp;"")</f>
        <v/>
      </c>
      <c r="C143" s="41" t="str">
        <f>IF(ISERROR(VLOOKUP($A143,通讯录!$A:$M,7,FALSE)&amp;""),"",VLOOKUP($A143,通讯录!$A:$M,7,FALSE)&amp;"")</f>
        <v/>
      </c>
      <c r="D143" s="41" t="str">
        <f>IF(ISERROR(VLOOKUP($A143,通讯录!$A:$M,5,FALSE)&amp;""),"",VLOOKUP($A143,通讯录!$A:$M,5,FALSE)&amp;"")</f>
        <v/>
      </c>
      <c r="E143" s="41" t="str">
        <f>IF(ISERROR(VLOOKUP($A143,通讯录!$A:$M,6,FALSE)&amp;""),"",VLOOKUP($A143,通讯录!$A:$M,6,FALSE)&amp;"")</f>
        <v/>
      </c>
      <c r="F143" s="41" t="str">
        <f>IF(ISERROR(VLOOKUP($A143,通讯录!$A:$M,4,FALSE)&amp;""),"",VLOOKUP($A143,通讯录!$A:$M,4,FALSE)&amp;"")</f>
        <v/>
      </c>
      <c r="G143" s="41" t="str">
        <f>IF(ISERROR(VLOOKUP($A143,通讯录!$A:$M,8,FALSE)&amp;""),"",VLOOKUP($A143,通讯录!$A:$M,8,FALSE)&amp;"")</f>
        <v/>
      </c>
      <c r="H143" s="41"/>
      <c r="I143" s="41"/>
      <c r="J143" s="41"/>
      <c r="L143" s="28" t="str">
        <f t="shared" si="1"/>
        <v/>
      </c>
    </row>
    <row r="144" spans="2:12" x14ac:dyDescent="0.15">
      <c r="B144" s="41" t="str">
        <f>IF(ISERROR(VLOOKUP($A144,通讯录!$A:$M,3,FALSE)&amp;""),"",VLOOKUP($A144,通讯录!$A:$M,3,FALSE)&amp;"")</f>
        <v/>
      </c>
      <c r="C144" s="41" t="str">
        <f>IF(ISERROR(VLOOKUP($A144,通讯录!$A:$M,7,FALSE)&amp;""),"",VLOOKUP($A144,通讯录!$A:$M,7,FALSE)&amp;"")</f>
        <v/>
      </c>
      <c r="D144" s="41" t="str">
        <f>IF(ISERROR(VLOOKUP($A144,通讯录!$A:$M,5,FALSE)&amp;""),"",VLOOKUP($A144,通讯录!$A:$M,5,FALSE)&amp;"")</f>
        <v/>
      </c>
      <c r="E144" s="41" t="str">
        <f>IF(ISERROR(VLOOKUP($A144,通讯录!$A:$M,6,FALSE)&amp;""),"",VLOOKUP($A144,通讯录!$A:$M,6,FALSE)&amp;"")</f>
        <v/>
      </c>
      <c r="F144" s="41" t="str">
        <f>IF(ISERROR(VLOOKUP($A144,通讯录!$A:$M,4,FALSE)&amp;""),"",VLOOKUP($A144,通讯录!$A:$M,4,FALSE)&amp;"")</f>
        <v/>
      </c>
      <c r="G144" s="41" t="str">
        <f>IF(ISERROR(VLOOKUP($A144,通讯录!$A:$M,8,FALSE)&amp;""),"",VLOOKUP($A144,通讯录!$A:$M,8,FALSE)&amp;"")</f>
        <v/>
      </c>
      <c r="H144" s="41"/>
      <c r="I144" s="41"/>
      <c r="J144" s="41"/>
      <c r="L144" s="28" t="str">
        <f t="shared" si="1"/>
        <v/>
      </c>
    </row>
    <row r="145" spans="2:12" x14ac:dyDescent="0.15">
      <c r="B145" s="41" t="str">
        <f>IF(ISERROR(VLOOKUP($A145,通讯录!$A:$M,3,FALSE)&amp;""),"",VLOOKUP($A145,通讯录!$A:$M,3,FALSE)&amp;"")</f>
        <v/>
      </c>
      <c r="C145" s="41" t="str">
        <f>IF(ISERROR(VLOOKUP($A145,通讯录!$A:$M,7,FALSE)&amp;""),"",VLOOKUP($A145,通讯录!$A:$M,7,FALSE)&amp;"")</f>
        <v/>
      </c>
      <c r="D145" s="41" t="str">
        <f>IF(ISERROR(VLOOKUP($A145,通讯录!$A:$M,5,FALSE)&amp;""),"",VLOOKUP($A145,通讯录!$A:$M,5,FALSE)&amp;"")</f>
        <v/>
      </c>
      <c r="E145" s="41" t="str">
        <f>IF(ISERROR(VLOOKUP($A145,通讯录!$A:$M,6,FALSE)&amp;""),"",VLOOKUP($A145,通讯录!$A:$M,6,FALSE)&amp;"")</f>
        <v/>
      </c>
      <c r="F145" s="41" t="str">
        <f>IF(ISERROR(VLOOKUP($A145,通讯录!$A:$M,4,FALSE)&amp;""),"",VLOOKUP($A145,通讯录!$A:$M,4,FALSE)&amp;"")</f>
        <v/>
      </c>
      <c r="G145" s="41" t="str">
        <f>IF(ISERROR(VLOOKUP($A145,通讯录!$A:$M,8,FALSE)&amp;""),"",VLOOKUP($A145,通讯录!$A:$M,8,FALSE)&amp;"")</f>
        <v/>
      </c>
      <c r="H145" s="41"/>
      <c r="I145" s="41"/>
      <c r="J145" s="41"/>
      <c r="L145" s="28" t="str">
        <f t="shared" si="1"/>
        <v/>
      </c>
    </row>
    <row r="146" spans="2:12" x14ac:dyDescent="0.15">
      <c r="B146" s="41" t="str">
        <f>IF(ISERROR(VLOOKUP($A146,通讯录!$A:$M,3,FALSE)&amp;""),"",VLOOKUP($A146,通讯录!$A:$M,3,FALSE)&amp;"")</f>
        <v/>
      </c>
      <c r="C146" s="41" t="str">
        <f>IF(ISERROR(VLOOKUP($A146,通讯录!$A:$M,7,FALSE)&amp;""),"",VLOOKUP($A146,通讯录!$A:$M,7,FALSE)&amp;"")</f>
        <v/>
      </c>
      <c r="D146" s="41" t="str">
        <f>IF(ISERROR(VLOOKUP($A146,通讯录!$A:$M,5,FALSE)&amp;""),"",VLOOKUP($A146,通讯录!$A:$M,5,FALSE)&amp;"")</f>
        <v/>
      </c>
      <c r="E146" s="41" t="str">
        <f>IF(ISERROR(VLOOKUP($A146,通讯录!$A:$M,6,FALSE)&amp;""),"",VLOOKUP($A146,通讯录!$A:$M,6,FALSE)&amp;"")</f>
        <v/>
      </c>
      <c r="F146" s="41" t="str">
        <f>IF(ISERROR(VLOOKUP($A146,通讯录!$A:$M,4,FALSE)&amp;""),"",VLOOKUP($A146,通讯录!$A:$M,4,FALSE)&amp;"")</f>
        <v/>
      </c>
      <c r="G146" s="41" t="str">
        <f>IF(ISERROR(VLOOKUP($A146,通讯录!$A:$M,8,FALSE)&amp;""),"",VLOOKUP($A146,通讯录!$A:$M,8,FALSE)&amp;"")</f>
        <v/>
      </c>
      <c r="H146" s="41"/>
      <c r="I146" s="41"/>
      <c r="J146" s="41"/>
      <c r="L146" s="28" t="str">
        <f t="shared" si="1"/>
        <v/>
      </c>
    </row>
    <row r="147" spans="2:12" x14ac:dyDescent="0.15">
      <c r="B147" s="41" t="str">
        <f>IF(ISERROR(VLOOKUP($A147,通讯录!$A:$M,3,FALSE)&amp;""),"",VLOOKUP($A147,通讯录!$A:$M,3,FALSE)&amp;"")</f>
        <v/>
      </c>
      <c r="C147" s="41" t="str">
        <f>IF(ISERROR(VLOOKUP($A147,通讯录!$A:$M,7,FALSE)&amp;""),"",VLOOKUP($A147,通讯录!$A:$M,7,FALSE)&amp;"")</f>
        <v/>
      </c>
      <c r="D147" s="41" t="str">
        <f>IF(ISERROR(VLOOKUP($A147,通讯录!$A:$M,5,FALSE)&amp;""),"",VLOOKUP($A147,通讯录!$A:$M,5,FALSE)&amp;"")</f>
        <v/>
      </c>
      <c r="E147" s="41" t="str">
        <f>IF(ISERROR(VLOOKUP($A147,通讯录!$A:$M,6,FALSE)&amp;""),"",VLOOKUP($A147,通讯录!$A:$M,6,FALSE)&amp;"")</f>
        <v/>
      </c>
      <c r="F147" s="41" t="str">
        <f>IF(ISERROR(VLOOKUP($A147,通讯录!$A:$M,4,FALSE)&amp;""),"",VLOOKUP($A147,通讯录!$A:$M,4,FALSE)&amp;"")</f>
        <v/>
      </c>
      <c r="G147" s="41" t="str">
        <f>IF(ISERROR(VLOOKUP($A147,通讯录!$A:$M,8,FALSE)&amp;""),"",VLOOKUP($A147,通讯录!$A:$M,8,FALSE)&amp;"")</f>
        <v/>
      </c>
      <c r="H147" s="41"/>
      <c r="I147" s="41"/>
      <c r="J147" s="41"/>
      <c r="L147" s="28" t="str">
        <f t="shared" si="1"/>
        <v/>
      </c>
    </row>
    <row r="148" spans="2:12" x14ac:dyDescent="0.15">
      <c r="B148" s="41" t="str">
        <f>IF(ISERROR(VLOOKUP($A148,通讯录!$A:$M,3,FALSE)&amp;""),"",VLOOKUP($A148,通讯录!$A:$M,3,FALSE)&amp;"")</f>
        <v/>
      </c>
      <c r="C148" s="41" t="str">
        <f>IF(ISERROR(VLOOKUP($A148,通讯录!$A:$M,7,FALSE)&amp;""),"",VLOOKUP($A148,通讯录!$A:$M,7,FALSE)&amp;"")</f>
        <v/>
      </c>
      <c r="D148" s="41" t="str">
        <f>IF(ISERROR(VLOOKUP($A148,通讯录!$A:$M,5,FALSE)&amp;""),"",VLOOKUP($A148,通讯录!$A:$M,5,FALSE)&amp;"")</f>
        <v/>
      </c>
      <c r="E148" s="41" t="str">
        <f>IF(ISERROR(VLOOKUP($A148,通讯录!$A:$M,6,FALSE)&amp;""),"",VLOOKUP($A148,通讯录!$A:$M,6,FALSE)&amp;"")</f>
        <v/>
      </c>
      <c r="F148" s="41" t="str">
        <f>IF(ISERROR(VLOOKUP($A148,通讯录!$A:$M,4,FALSE)&amp;""),"",VLOOKUP($A148,通讯录!$A:$M,4,FALSE)&amp;"")</f>
        <v/>
      </c>
      <c r="G148" s="41" t="str">
        <f>IF(ISERROR(VLOOKUP($A148,通讯录!$A:$M,8,FALSE)&amp;""),"",VLOOKUP($A148,通讯录!$A:$M,8,FALSE)&amp;"")</f>
        <v/>
      </c>
      <c r="H148" s="41"/>
      <c r="I148" s="41"/>
      <c r="J148" s="41"/>
      <c r="L148" s="28" t="str">
        <f t="shared" si="1"/>
        <v/>
      </c>
    </row>
    <row r="149" spans="2:12" x14ac:dyDescent="0.15">
      <c r="B149" s="41" t="str">
        <f>IF(ISERROR(VLOOKUP($A149,通讯录!$A:$M,3,FALSE)&amp;""),"",VLOOKUP($A149,通讯录!$A:$M,3,FALSE)&amp;"")</f>
        <v/>
      </c>
      <c r="C149" s="41" t="str">
        <f>IF(ISERROR(VLOOKUP($A149,通讯录!$A:$M,7,FALSE)&amp;""),"",VLOOKUP($A149,通讯录!$A:$M,7,FALSE)&amp;"")</f>
        <v/>
      </c>
      <c r="D149" s="41" t="str">
        <f>IF(ISERROR(VLOOKUP($A149,通讯录!$A:$M,5,FALSE)&amp;""),"",VLOOKUP($A149,通讯录!$A:$M,5,FALSE)&amp;"")</f>
        <v/>
      </c>
      <c r="E149" s="41" t="str">
        <f>IF(ISERROR(VLOOKUP($A149,通讯录!$A:$M,6,FALSE)&amp;""),"",VLOOKUP($A149,通讯录!$A:$M,6,FALSE)&amp;"")</f>
        <v/>
      </c>
      <c r="F149" s="41" t="str">
        <f>IF(ISERROR(VLOOKUP($A149,通讯录!$A:$M,4,FALSE)&amp;""),"",VLOOKUP($A149,通讯录!$A:$M,4,FALSE)&amp;"")</f>
        <v/>
      </c>
      <c r="G149" s="41" t="str">
        <f>IF(ISERROR(VLOOKUP($A149,通讯录!$A:$M,8,FALSE)&amp;""),"",VLOOKUP($A149,通讯录!$A:$M,8,FALSE)&amp;"")</f>
        <v/>
      </c>
      <c r="H149" s="41"/>
      <c r="I149" s="41"/>
      <c r="J149" s="41"/>
      <c r="L149" s="28" t="str">
        <f t="shared" si="1"/>
        <v/>
      </c>
    </row>
    <row r="150" spans="2:12" x14ac:dyDescent="0.15">
      <c r="B150" s="41" t="str">
        <f>IF(ISERROR(VLOOKUP($A150,通讯录!$A:$M,3,FALSE)&amp;""),"",VLOOKUP($A150,通讯录!$A:$M,3,FALSE)&amp;"")</f>
        <v/>
      </c>
      <c r="C150" s="41" t="str">
        <f>IF(ISERROR(VLOOKUP($A150,通讯录!$A:$M,7,FALSE)&amp;""),"",VLOOKUP($A150,通讯录!$A:$M,7,FALSE)&amp;"")</f>
        <v/>
      </c>
      <c r="D150" s="41" t="str">
        <f>IF(ISERROR(VLOOKUP($A150,通讯录!$A:$M,5,FALSE)&amp;""),"",VLOOKUP($A150,通讯录!$A:$M,5,FALSE)&amp;"")</f>
        <v/>
      </c>
      <c r="E150" s="41" t="str">
        <f>IF(ISERROR(VLOOKUP($A150,通讯录!$A:$M,6,FALSE)&amp;""),"",VLOOKUP($A150,通讯录!$A:$M,6,FALSE)&amp;"")</f>
        <v/>
      </c>
      <c r="F150" s="41" t="str">
        <f>IF(ISERROR(VLOOKUP($A150,通讯录!$A:$M,4,FALSE)&amp;""),"",VLOOKUP($A150,通讯录!$A:$M,4,FALSE)&amp;"")</f>
        <v/>
      </c>
      <c r="G150" s="41" t="str">
        <f>IF(ISERROR(VLOOKUP($A150,通讯录!$A:$M,8,FALSE)&amp;""),"",VLOOKUP($A150,通讯录!$A:$M,8,FALSE)&amp;"")</f>
        <v/>
      </c>
      <c r="H150" s="41"/>
      <c r="I150" s="41"/>
      <c r="J150" s="41"/>
      <c r="L150" s="28" t="str">
        <f t="shared" si="1"/>
        <v/>
      </c>
    </row>
    <row r="151" spans="2:12" x14ac:dyDescent="0.15">
      <c r="B151" s="41" t="str">
        <f>IF(ISERROR(VLOOKUP($A151,通讯录!$A:$M,3,FALSE)&amp;""),"",VLOOKUP($A151,通讯录!$A:$M,3,FALSE)&amp;"")</f>
        <v/>
      </c>
      <c r="C151" s="41" t="str">
        <f>IF(ISERROR(VLOOKUP($A151,通讯录!$A:$M,7,FALSE)&amp;""),"",VLOOKUP($A151,通讯录!$A:$M,7,FALSE)&amp;"")</f>
        <v/>
      </c>
      <c r="D151" s="41" t="str">
        <f>IF(ISERROR(VLOOKUP($A151,通讯录!$A:$M,5,FALSE)&amp;""),"",VLOOKUP($A151,通讯录!$A:$M,5,FALSE)&amp;"")</f>
        <v/>
      </c>
      <c r="E151" s="41" t="str">
        <f>IF(ISERROR(VLOOKUP($A151,通讯录!$A:$M,6,FALSE)&amp;""),"",VLOOKUP($A151,通讯录!$A:$M,6,FALSE)&amp;"")</f>
        <v/>
      </c>
      <c r="F151" s="41" t="str">
        <f>IF(ISERROR(VLOOKUP($A151,通讯录!$A:$M,4,FALSE)&amp;""),"",VLOOKUP($A151,通讯录!$A:$M,4,FALSE)&amp;"")</f>
        <v/>
      </c>
      <c r="G151" s="41" t="str">
        <f>IF(ISERROR(VLOOKUP($A151,通讯录!$A:$M,8,FALSE)&amp;""),"",VLOOKUP($A151,通讯录!$A:$M,8,FALSE)&amp;"")</f>
        <v/>
      </c>
      <c r="H151" s="41"/>
      <c r="I151" s="41"/>
      <c r="J151" s="41"/>
      <c r="L151" s="28" t="str">
        <f t="shared" si="1"/>
        <v/>
      </c>
    </row>
    <row r="152" spans="2:12" x14ac:dyDescent="0.15">
      <c r="B152" s="41" t="str">
        <f>IF(ISERROR(VLOOKUP($A152,通讯录!$A:$M,3,FALSE)&amp;""),"",VLOOKUP($A152,通讯录!$A:$M,3,FALSE)&amp;"")</f>
        <v/>
      </c>
      <c r="C152" s="41" t="str">
        <f>IF(ISERROR(VLOOKUP($A152,通讯录!$A:$M,7,FALSE)&amp;""),"",VLOOKUP($A152,通讯录!$A:$M,7,FALSE)&amp;"")</f>
        <v/>
      </c>
      <c r="D152" s="41" t="str">
        <f>IF(ISERROR(VLOOKUP($A152,通讯录!$A:$M,5,FALSE)&amp;""),"",VLOOKUP($A152,通讯录!$A:$M,5,FALSE)&amp;"")</f>
        <v/>
      </c>
      <c r="E152" s="41" t="str">
        <f>IF(ISERROR(VLOOKUP($A152,通讯录!$A:$M,6,FALSE)&amp;""),"",VLOOKUP($A152,通讯录!$A:$M,6,FALSE)&amp;"")</f>
        <v/>
      </c>
      <c r="F152" s="41" t="str">
        <f>IF(ISERROR(VLOOKUP($A152,通讯录!$A:$M,4,FALSE)&amp;""),"",VLOOKUP($A152,通讯录!$A:$M,4,FALSE)&amp;"")</f>
        <v/>
      </c>
      <c r="G152" s="41" t="str">
        <f>IF(ISERROR(VLOOKUP($A152,通讯录!$A:$M,8,FALSE)&amp;""),"",VLOOKUP($A152,通讯录!$A:$M,8,FALSE)&amp;"")</f>
        <v/>
      </c>
      <c r="H152" s="41"/>
      <c r="I152" s="41"/>
      <c r="J152" s="41"/>
      <c r="L152" s="28" t="str">
        <f t="shared" si="1"/>
        <v/>
      </c>
    </row>
    <row r="153" spans="2:12" x14ac:dyDescent="0.15">
      <c r="B153" s="41" t="str">
        <f>IF(ISERROR(VLOOKUP($A153,通讯录!$A:$M,3,FALSE)&amp;""),"",VLOOKUP($A153,通讯录!$A:$M,3,FALSE)&amp;"")</f>
        <v/>
      </c>
      <c r="C153" s="41" t="str">
        <f>IF(ISERROR(VLOOKUP($A153,通讯录!$A:$M,7,FALSE)&amp;""),"",VLOOKUP($A153,通讯录!$A:$M,7,FALSE)&amp;"")</f>
        <v/>
      </c>
      <c r="D153" s="41" t="str">
        <f>IF(ISERROR(VLOOKUP($A153,通讯录!$A:$M,5,FALSE)&amp;""),"",VLOOKUP($A153,通讯录!$A:$M,5,FALSE)&amp;"")</f>
        <v/>
      </c>
      <c r="E153" s="41" t="str">
        <f>IF(ISERROR(VLOOKUP($A153,通讯录!$A:$M,6,FALSE)&amp;""),"",VLOOKUP($A153,通讯录!$A:$M,6,FALSE)&amp;"")</f>
        <v/>
      </c>
      <c r="F153" s="41" t="str">
        <f>IF(ISERROR(VLOOKUP($A153,通讯录!$A:$M,4,FALSE)&amp;""),"",VLOOKUP($A153,通讯录!$A:$M,4,FALSE)&amp;"")</f>
        <v/>
      </c>
      <c r="G153" s="41" t="str">
        <f>IF(ISERROR(VLOOKUP($A153,通讯录!$A:$M,8,FALSE)&amp;""),"",VLOOKUP($A153,通讯录!$A:$M,8,FALSE)&amp;"")</f>
        <v/>
      </c>
      <c r="H153" s="41"/>
      <c r="I153" s="41"/>
      <c r="J153" s="41"/>
      <c r="L153" s="28" t="str">
        <f t="shared" si="1"/>
        <v/>
      </c>
    </row>
    <row r="154" spans="2:12" x14ac:dyDescent="0.15">
      <c r="B154" s="41" t="str">
        <f>IF(ISERROR(VLOOKUP($A154,通讯录!$A:$M,3,FALSE)&amp;""),"",VLOOKUP($A154,通讯录!$A:$M,3,FALSE)&amp;"")</f>
        <v/>
      </c>
      <c r="C154" s="41" t="str">
        <f>IF(ISERROR(VLOOKUP($A154,通讯录!$A:$M,7,FALSE)&amp;""),"",VLOOKUP($A154,通讯录!$A:$M,7,FALSE)&amp;"")</f>
        <v/>
      </c>
      <c r="D154" s="41" t="str">
        <f>IF(ISERROR(VLOOKUP($A154,通讯录!$A:$M,5,FALSE)&amp;""),"",VLOOKUP($A154,通讯录!$A:$M,5,FALSE)&amp;"")</f>
        <v/>
      </c>
      <c r="E154" s="41" t="str">
        <f>IF(ISERROR(VLOOKUP($A154,通讯录!$A:$M,6,FALSE)&amp;""),"",VLOOKUP($A154,通讯录!$A:$M,6,FALSE)&amp;"")</f>
        <v/>
      </c>
      <c r="F154" s="41" t="str">
        <f>IF(ISERROR(VLOOKUP($A154,通讯录!$A:$M,4,FALSE)&amp;""),"",VLOOKUP($A154,通讯录!$A:$M,4,FALSE)&amp;"")</f>
        <v/>
      </c>
      <c r="G154" s="41" t="str">
        <f>IF(ISERROR(VLOOKUP($A154,通讯录!$A:$M,8,FALSE)&amp;""),"",VLOOKUP($A154,通讯录!$A:$M,8,FALSE)&amp;"")</f>
        <v/>
      </c>
      <c r="H154" s="41"/>
      <c r="I154" s="41"/>
      <c r="J154" s="41"/>
      <c r="L154" s="28" t="str">
        <f t="shared" si="1"/>
        <v/>
      </c>
    </row>
    <row r="155" spans="2:12" x14ac:dyDescent="0.15">
      <c r="B155" s="41" t="str">
        <f>IF(ISERROR(VLOOKUP($A155,通讯录!$A:$M,3,FALSE)&amp;""),"",VLOOKUP($A155,通讯录!$A:$M,3,FALSE)&amp;"")</f>
        <v/>
      </c>
      <c r="C155" s="41" t="str">
        <f>IF(ISERROR(VLOOKUP($A155,通讯录!$A:$M,7,FALSE)&amp;""),"",VLOOKUP($A155,通讯录!$A:$M,7,FALSE)&amp;"")</f>
        <v/>
      </c>
      <c r="D155" s="41" t="str">
        <f>IF(ISERROR(VLOOKUP($A155,通讯录!$A:$M,5,FALSE)&amp;""),"",VLOOKUP($A155,通讯录!$A:$M,5,FALSE)&amp;"")</f>
        <v/>
      </c>
      <c r="E155" s="41" t="str">
        <f>IF(ISERROR(VLOOKUP($A155,通讯录!$A:$M,6,FALSE)&amp;""),"",VLOOKUP($A155,通讯录!$A:$M,6,FALSE)&amp;"")</f>
        <v/>
      </c>
      <c r="F155" s="41" t="str">
        <f>IF(ISERROR(VLOOKUP($A155,通讯录!$A:$M,4,FALSE)&amp;""),"",VLOOKUP($A155,通讯录!$A:$M,4,FALSE)&amp;"")</f>
        <v/>
      </c>
      <c r="G155" s="41" t="str">
        <f>IF(ISERROR(VLOOKUP($A155,通讯录!$A:$M,8,FALSE)&amp;""),"",VLOOKUP($A155,通讯录!$A:$M,8,FALSE)&amp;"")</f>
        <v/>
      </c>
      <c r="H155" s="41"/>
      <c r="I155" s="41"/>
      <c r="J155" s="41"/>
      <c r="L155" s="28" t="str">
        <f t="shared" si="1"/>
        <v/>
      </c>
    </row>
    <row r="156" spans="2:12" x14ac:dyDescent="0.15">
      <c r="B156" s="41" t="str">
        <f>IF(ISERROR(VLOOKUP($A156,通讯录!$A:$M,3,FALSE)&amp;""),"",VLOOKUP($A156,通讯录!$A:$M,3,FALSE)&amp;"")</f>
        <v/>
      </c>
      <c r="C156" s="41" t="str">
        <f>IF(ISERROR(VLOOKUP($A156,通讯录!$A:$M,7,FALSE)&amp;""),"",VLOOKUP($A156,通讯录!$A:$M,7,FALSE)&amp;"")</f>
        <v/>
      </c>
      <c r="D156" s="41" t="str">
        <f>IF(ISERROR(VLOOKUP($A156,通讯录!$A:$M,5,FALSE)&amp;""),"",VLOOKUP($A156,通讯录!$A:$M,5,FALSE)&amp;"")</f>
        <v/>
      </c>
      <c r="E156" s="41" t="str">
        <f>IF(ISERROR(VLOOKUP($A156,通讯录!$A:$M,6,FALSE)&amp;""),"",VLOOKUP($A156,通讯录!$A:$M,6,FALSE)&amp;"")</f>
        <v/>
      </c>
      <c r="F156" s="41" t="str">
        <f>IF(ISERROR(VLOOKUP($A156,通讯录!$A:$M,4,FALSE)&amp;""),"",VLOOKUP($A156,通讯录!$A:$M,4,FALSE)&amp;"")</f>
        <v/>
      </c>
      <c r="G156" s="41" t="str">
        <f>IF(ISERROR(VLOOKUP($A156,通讯录!$A:$M,8,FALSE)&amp;""),"",VLOOKUP($A156,通讯录!$A:$M,8,FALSE)&amp;"")</f>
        <v/>
      </c>
      <c r="H156" s="41"/>
      <c r="I156" s="41"/>
      <c r="J156" s="41"/>
      <c r="L156" s="28" t="str">
        <f t="shared" si="1"/>
        <v/>
      </c>
    </row>
    <row r="157" spans="2:12" x14ac:dyDescent="0.15">
      <c r="B157" s="41" t="str">
        <f>IF(ISERROR(VLOOKUP($A157,通讯录!$A:$M,3,FALSE)&amp;""),"",VLOOKUP($A157,通讯录!$A:$M,3,FALSE)&amp;"")</f>
        <v/>
      </c>
      <c r="C157" s="41" t="str">
        <f>IF(ISERROR(VLOOKUP($A157,通讯录!$A:$M,7,FALSE)&amp;""),"",VLOOKUP($A157,通讯录!$A:$M,7,FALSE)&amp;"")</f>
        <v/>
      </c>
      <c r="D157" s="41" t="str">
        <f>IF(ISERROR(VLOOKUP($A157,通讯录!$A:$M,5,FALSE)&amp;""),"",VLOOKUP($A157,通讯录!$A:$M,5,FALSE)&amp;"")</f>
        <v/>
      </c>
      <c r="E157" s="41" t="str">
        <f>IF(ISERROR(VLOOKUP($A157,通讯录!$A:$M,6,FALSE)&amp;""),"",VLOOKUP($A157,通讯录!$A:$M,6,FALSE)&amp;"")</f>
        <v/>
      </c>
      <c r="F157" s="41" t="str">
        <f>IF(ISERROR(VLOOKUP($A157,通讯录!$A:$M,4,FALSE)&amp;""),"",VLOOKUP($A157,通讯录!$A:$M,4,FALSE)&amp;"")</f>
        <v/>
      </c>
      <c r="G157" s="41" t="str">
        <f>IF(ISERROR(VLOOKUP($A157,通讯录!$A:$M,8,FALSE)&amp;""),"",VLOOKUP($A157,通讯录!$A:$M,8,FALSE)&amp;"")</f>
        <v/>
      </c>
      <c r="H157" s="41"/>
      <c r="I157" s="41"/>
      <c r="J157" s="41"/>
      <c r="L157" s="28" t="str">
        <f t="shared" si="1"/>
        <v/>
      </c>
    </row>
    <row r="158" spans="2:12" x14ac:dyDescent="0.15">
      <c r="B158" s="41" t="str">
        <f>IF(ISERROR(VLOOKUP($A158,通讯录!$A:$M,3,FALSE)&amp;""),"",VLOOKUP($A158,通讯录!$A:$M,3,FALSE)&amp;"")</f>
        <v/>
      </c>
      <c r="C158" s="41" t="str">
        <f>IF(ISERROR(VLOOKUP($A158,通讯录!$A:$M,7,FALSE)&amp;""),"",VLOOKUP($A158,通讯录!$A:$M,7,FALSE)&amp;"")</f>
        <v/>
      </c>
      <c r="D158" s="41" t="str">
        <f>IF(ISERROR(VLOOKUP($A158,通讯录!$A:$M,5,FALSE)&amp;""),"",VLOOKUP($A158,通讯录!$A:$M,5,FALSE)&amp;"")</f>
        <v/>
      </c>
      <c r="E158" s="41" t="str">
        <f>IF(ISERROR(VLOOKUP($A158,通讯录!$A:$M,6,FALSE)&amp;""),"",VLOOKUP($A158,通讯录!$A:$M,6,FALSE)&amp;"")</f>
        <v/>
      </c>
      <c r="F158" s="41" t="str">
        <f>IF(ISERROR(VLOOKUP($A158,通讯录!$A:$M,4,FALSE)&amp;""),"",VLOOKUP($A158,通讯录!$A:$M,4,FALSE)&amp;"")</f>
        <v/>
      </c>
      <c r="G158" s="41" t="str">
        <f>IF(ISERROR(VLOOKUP($A158,通讯录!$A:$M,8,FALSE)&amp;""),"",VLOOKUP($A158,通讯录!$A:$M,8,FALSE)&amp;"")</f>
        <v/>
      </c>
      <c r="H158" s="41"/>
      <c r="I158" s="41"/>
      <c r="J158" s="41"/>
      <c r="L158" s="28" t="str">
        <f t="shared" si="1"/>
        <v/>
      </c>
    </row>
    <row r="159" spans="2:12" x14ac:dyDescent="0.15">
      <c r="B159" s="41" t="str">
        <f>IF(ISERROR(VLOOKUP($A159,通讯录!$A:$M,3,FALSE)&amp;""),"",VLOOKUP($A159,通讯录!$A:$M,3,FALSE)&amp;"")</f>
        <v/>
      </c>
      <c r="C159" s="41" t="str">
        <f>IF(ISERROR(VLOOKUP($A159,通讯录!$A:$M,7,FALSE)&amp;""),"",VLOOKUP($A159,通讯录!$A:$M,7,FALSE)&amp;"")</f>
        <v/>
      </c>
      <c r="D159" s="41" t="str">
        <f>IF(ISERROR(VLOOKUP($A159,通讯录!$A:$M,5,FALSE)&amp;""),"",VLOOKUP($A159,通讯录!$A:$M,5,FALSE)&amp;"")</f>
        <v/>
      </c>
      <c r="E159" s="41" t="str">
        <f>IF(ISERROR(VLOOKUP($A159,通讯录!$A:$M,6,FALSE)&amp;""),"",VLOOKUP($A159,通讯录!$A:$M,6,FALSE)&amp;"")</f>
        <v/>
      </c>
      <c r="F159" s="41" t="str">
        <f>IF(ISERROR(VLOOKUP($A159,通讯录!$A:$M,4,FALSE)&amp;""),"",VLOOKUP($A159,通讯录!$A:$M,4,FALSE)&amp;"")</f>
        <v/>
      </c>
      <c r="G159" s="41" t="str">
        <f>IF(ISERROR(VLOOKUP($A159,通讯录!$A:$M,8,FALSE)&amp;""),"",VLOOKUP($A159,通讯录!$A:$M,8,FALSE)&amp;"")</f>
        <v/>
      </c>
      <c r="H159" s="41"/>
      <c r="I159" s="41"/>
      <c r="J159" s="41"/>
      <c r="L159" s="28" t="str">
        <f t="shared" si="1"/>
        <v/>
      </c>
    </row>
    <row r="160" spans="2:12" x14ac:dyDescent="0.15">
      <c r="B160" s="41" t="str">
        <f>IF(ISERROR(VLOOKUP($A160,通讯录!$A:$M,3,FALSE)&amp;""),"",VLOOKUP($A160,通讯录!$A:$M,3,FALSE)&amp;"")</f>
        <v/>
      </c>
      <c r="C160" s="41" t="str">
        <f>IF(ISERROR(VLOOKUP($A160,通讯录!$A:$M,7,FALSE)&amp;""),"",VLOOKUP($A160,通讯录!$A:$M,7,FALSE)&amp;"")</f>
        <v/>
      </c>
      <c r="D160" s="41" t="str">
        <f>IF(ISERROR(VLOOKUP($A160,通讯录!$A:$M,5,FALSE)&amp;""),"",VLOOKUP($A160,通讯录!$A:$M,5,FALSE)&amp;"")</f>
        <v/>
      </c>
      <c r="E160" s="41" t="str">
        <f>IF(ISERROR(VLOOKUP($A160,通讯录!$A:$M,6,FALSE)&amp;""),"",VLOOKUP($A160,通讯录!$A:$M,6,FALSE)&amp;"")</f>
        <v/>
      </c>
      <c r="F160" s="41" t="str">
        <f>IF(ISERROR(VLOOKUP($A160,通讯录!$A:$M,4,FALSE)&amp;""),"",VLOOKUP($A160,通讯录!$A:$M,4,FALSE)&amp;"")</f>
        <v/>
      </c>
      <c r="G160" s="41" t="str">
        <f>IF(ISERROR(VLOOKUP($A160,通讯录!$A:$M,8,FALSE)&amp;""),"",VLOOKUP($A160,通讯录!$A:$M,8,FALSE)&amp;"")</f>
        <v/>
      </c>
      <c r="H160" s="41"/>
      <c r="I160" s="41"/>
      <c r="J160" s="41"/>
      <c r="L160" s="28" t="str">
        <f t="shared" si="1"/>
        <v/>
      </c>
    </row>
    <row r="161" spans="2:12" x14ac:dyDescent="0.15">
      <c r="B161" s="41" t="str">
        <f>IF(ISERROR(VLOOKUP($A161,通讯录!$A:$M,3,FALSE)&amp;""),"",VLOOKUP($A161,通讯录!$A:$M,3,FALSE)&amp;"")</f>
        <v/>
      </c>
      <c r="C161" s="41" t="str">
        <f>IF(ISERROR(VLOOKUP($A161,通讯录!$A:$M,7,FALSE)&amp;""),"",VLOOKUP($A161,通讯录!$A:$M,7,FALSE)&amp;"")</f>
        <v/>
      </c>
      <c r="D161" s="41" t="str">
        <f>IF(ISERROR(VLOOKUP($A161,通讯录!$A:$M,5,FALSE)&amp;""),"",VLOOKUP($A161,通讯录!$A:$M,5,FALSE)&amp;"")</f>
        <v/>
      </c>
      <c r="E161" s="41" t="str">
        <f>IF(ISERROR(VLOOKUP($A161,通讯录!$A:$M,6,FALSE)&amp;""),"",VLOOKUP($A161,通讯录!$A:$M,6,FALSE)&amp;"")</f>
        <v/>
      </c>
      <c r="F161" s="41" t="str">
        <f>IF(ISERROR(VLOOKUP($A161,通讯录!$A:$M,4,FALSE)&amp;""),"",VLOOKUP($A161,通讯录!$A:$M,4,FALSE)&amp;"")</f>
        <v/>
      </c>
      <c r="G161" s="41" t="str">
        <f>IF(ISERROR(VLOOKUP($A161,通讯录!$A:$M,8,FALSE)&amp;""),"",VLOOKUP($A161,通讯录!$A:$M,8,FALSE)&amp;"")</f>
        <v/>
      </c>
      <c r="H161" s="41"/>
      <c r="I161" s="41"/>
      <c r="J161" s="41"/>
      <c r="L161" s="28" t="str">
        <f t="shared" si="1"/>
        <v/>
      </c>
    </row>
    <row r="162" spans="2:12" x14ac:dyDescent="0.15">
      <c r="B162" s="41" t="str">
        <f>IF(ISERROR(VLOOKUP($A162,通讯录!$A:$M,3,FALSE)&amp;""),"",VLOOKUP($A162,通讯录!$A:$M,3,FALSE)&amp;"")</f>
        <v/>
      </c>
      <c r="C162" s="41" t="str">
        <f>IF(ISERROR(VLOOKUP($A162,通讯录!$A:$M,7,FALSE)&amp;""),"",VLOOKUP($A162,通讯录!$A:$M,7,FALSE)&amp;"")</f>
        <v/>
      </c>
      <c r="D162" s="41" t="str">
        <f>IF(ISERROR(VLOOKUP($A162,通讯录!$A:$M,5,FALSE)&amp;""),"",VLOOKUP($A162,通讯录!$A:$M,5,FALSE)&amp;"")</f>
        <v/>
      </c>
      <c r="E162" s="41" t="str">
        <f>IF(ISERROR(VLOOKUP($A162,通讯录!$A:$M,6,FALSE)&amp;""),"",VLOOKUP($A162,通讯录!$A:$M,6,FALSE)&amp;"")</f>
        <v/>
      </c>
      <c r="F162" s="41" t="str">
        <f>IF(ISERROR(VLOOKUP($A162,通讯录!$A:$M,4,FALSE)&amp;""),"",VLOOKUP($A162,通讯录!$A:$M,4,FALSE)&amp;"")</f>
        <v/>
      </c>
      <c r="G162" s="41" t="str">
        <f>IF(ISERROR(VLOOKUP($A162,通讯录!$A:$M,8,FALSE)&amp;""),"",VLOOKUP($A162,通讯录!$A:$M,8,FALSE)&amp;"")</f>
        <v/>
      </c>
      <c r="H162" s="41"/>
      <c r="I162" s="41"/>
      <c r="J162" s="41"/>
      <c r="L162" s="28" t="str">
        <f t="shared" si="1"/>
        <v/>
      </c>
    </row>
    <row r="163" spans="2:12" x14ac:dyDescent="0.15">
      <c r="B163" s="41" t="str">
        <f>IF(ISERROR(VLOOKUP($A163,通讯录!$A:$M,3,FALSE)&amp;""),"",VLOOKUP($A163,通讯录!$A:$M,3,FALSE)&amp;"")</f>
        <v/>
      </c>
      <c r="C163" s="41" t="str">
        <f>IF(ISERROR(VLOOKUP($A163,通讯录!$A:$M,7,FALSE)&amp;""),"",VLOOKUP($A163,通讯录!$A:$M,7,FALSE)&amp;"")</f>
        <v/>
      </c>
      <c r="D163" s="41" t="str">
        <f>IF(ISERROR(VLOOKUP($A163,通讯录!$A:$M,5,FALSE)&amp;""),"",VLOOKUP($A163,通讯录!$A:$M,5,FALSE)&amp;"")</f>
        <v/>
      </c>
      <c r="E163" s="41" t="str">
        <f>IF(ISERROR(VLOOKUP($A163,通讯录!$A:$M,6,FALSE)&amp;""),"",VLOOKUP($A163,通讯录!$A:$M,6,FALSE)&amp;"")</f>
        <v/>
      </c>
      <c r="F163" s="41" t="str">
        <f>IF(ISERROR(VLOOKUP($A163,通讯录!$A:$M,4,FALSE)&amp;""),"",VLOOKUP($A163,通讯录!$A:$M,4,FALSE)&amp;"")</f>
        <v/>
      </c>
      <c r="G163" s="41" t="str">
        <f>IF(ISERROR(VLOOKUP($A163,通讯录!$A:$M,8,FALSE)&amp;""),"",VLOOKUP($A163,通讯录!$A:$M,8,FALSE)&amp;"")</f>
        <v/>
      </c>
      <c r="H163" s="41"/>
      <c r="I163" s="41"/>
      <c r="J163" s="41"/>
      <c r="L163" s="28" t="str">
        <f t="shared" si="1"/>
        <v/>
      </c>
    </row>
    <row r="164" spans="2:12" x14ac:dyDescent="0.15">
      <c r="B164" s="41" t="str">
        <f>IF(ISERROR(VLOOKUP($A164,通讯录!$A:$M,3,FALSE)&amp;""),"",VLOOKUP($A164,通讯录!$A:$M,3,FALSE)&amp;"")</f>
        <v/>
      </c>
      <c r="C164" s="41" t="str">
        <f>IF(ISERROR(VLOOKUP($A164,通讯录!$A:$M,7,FALSE)&amp;""),"",VLOOKUP($A164,通讯录!$A:$M,7,FALSE)&amp;"")</f>
        <v/>
      </c>
      <c r="D164" s="41" t="str">
        <f>IF(ISERROR(VLOOKUP($A164,通讯录!$A:$M,5,FALSE)&amp;""),"",VLOOKUP($A164,通讯录!$A:$M,5,FALSE)&amp;"")</f>
        <v/>
      </c>
      <c r="E164" s="41" t="str">
        <f>IF(ISERROR(VLOOKUP($A164,通讯录!$A:$M,6,FALSE)&amp;""),"",VLOOKUP($A164,通讯录!$A:$M,6,FALSE)&amp;"")</f>
        <v/>
      </c>
      <c r="F164" s="41" t="str">
        <f>IF(ISERROR(VLOOKUP($A164,通讯录!$A:$M,4,FALSE)&amp;""),"",VLOOKUP($A164,通讯录!$A:$M,4,FALSE)&amp;"")</f>
        <v/>
      </c>
      <c r="G164" s="41" t="str">
        <f>IF(ISERROR(VLOOKUP($A164,通讯录!$A:$M,8,FALSE)&amp;""),"",VLOOKUP($A164,通讯录!$A:$M,8,FALSE)&amp;"")</f>
        <v/>
      </c>
      <c r="H164" s="41"/>
      <c r="I164" s="41"/>
      <c r="J164" s="41"/>
      <c r="L164" s="28" t="str">
        <f t="shared" si="1"/>
        <v/>
      </c>
    </row>
    <row r="165" spans="2:12" x14ac:dyDescent="0.15">
      <c r="B165" s="41" t="str">
        <f>IF(ISERROR(VLOOKUP($A165,通讯录!$A:$M,3,FALSE)&amp;""),"",VLOOKUP($A165,通讯录!$A:$M,3,FALSE)&amp;"")</f>
        <v/>
      </c>
      <c r="C165" s="41" t="str">
        <f>IF(ISERROR(VLOOKUP($A165,通讯录!$A:$M,7,FALSE)&amp;""),"",VLOOKUP($A165,通讯录!$A:$M,7,FALSE)&amp;"")</f>
        <v/>
      </c>
      <c r="D165" s="41" t="str">
        <f>IF(ISERROR(VLOOKUP($A165,通讯录!$A:$M,5,FALSE)&amp;""),"",VLOOKUP($A165,通讯录!$A:$M,5,FALSE)&amp;"")</f>
        <v/>
      </c>
      <c r="E165" s="41" t="str">
        <f>IF(ISERROR(VLOOKUP($A165,通讯录!$A:$M,6,FALSE)&amp;""),"",VLOOKUP($A165,通讯录!$A:$M,6,FALSE)&amp;"")</f>
        <v/>
      </c>
      <c r="F165" s="41" t="str">
        <f>IF(ISERROR(VLOOKUP($A165,通讯录!$A:$M,4,FALSE)&amp;""),"",VLOOKUP($A165,通讯录!$A:$M,4,FALSE)&amp;"")</f>
        <v/>
      </c>
      <c r="G165" s="41" t="str">
        <f>IF(ISERROR(VLOOKUP($A165,通讯录!$A:$M,8,FALSE)&amp;""),"",VLOOKUP($A165,通讯录!$A:$M,8,FALSE)&amp;"")</f>
        <v/>
      </c>
      <c r="H165" s="41"/>
      <c r="I165" s="41"/>
      <c r="J165" s="41"/>
      <c r="L165" s="28" t="str">
        <f t="shared" si="1"/>
        <v/>
      </c>
    </row>
    <row r="166" spans="2:12" x14ac:dyDescent="0.15">
      <c r="B166" s="41" t="str">
        <f>IF(ISERROR(VLOOKUP($A166,通讯录!$A:$M,3,FALSE)&amp;""),"",VLOOKUP($A166,通讯录!$A:$M,3,FALSE)&amp;"")</f>
        <v/>
      </c>
      <c r="C166" s="41" t="str">
        <f>IF(ISERROR(VLOOKUP($A166,通讯录!$A:$M,7,FALSE)&amp;""),"",VLOOKUP($A166,通讯录!$A:$M,7,FALSE)&amp;"")</f>
        <v/>
      </c>
      <c r="D166" s="41" t="str">
        <f>IF(ISERROR(VLOOKUP($A166,通讯录!$A:$M,5,FALSE)&amp;""),"",VLOOKUP($A166,通讯录!$A:$M,5,FALSE)&amp;"")</f>
        <v/>
      </c>
      <c r="E166" s="41" t="str">
        <f>IF(ISERROR(VLOOKUP($A166,通讯录!$A:$M,6,FALSE)&amp;""),"",VLOOKUP($A166,通讯录!$A:$M,6,FALSE)&amp;"")</f>
        <v/>
      </c>
      <c r="F166" s="41" t="str">
        <f>IF(ISERROR(VLOOKUP($A166,通讯录!$A:$M,4,FALSE)&amp;""),"",VLOOKUP($A166,通讯录!$A:$M,4,FALSE)&amp;"")</f>
        <v/>
      </c>
      <c r="G166" s="41" t="str">
        <f>IF(ISERROR(VLOOKUP($A166,通讯录!$A:$M,8,FALSE)&amp;""),"",VLOOKUP($A166,通讯录!$A:$M,8,FALSE)&amp;"")</f>
        <v/>
      </c>
      <c r="H166" s="41"/>
      <c r="I166" s="41"/>
      <c r="J166" s="41"/>
      <c r="L166" s="28" t="str">
        <f t="shared" si="1"/>
        <v/>
      </c>
    </row>
    <row r="167" spans="2:12" x14ac:dyDescent="0.15">
      <c r="B167" s="41" t="str">
        <f>IF(ISERROR(VLOOKUP($A167,通讯录!$A:$M,3,FALSE)&amp;""),"",VLOOKUP($A167,通讯录!$A:$M,3,FALSE)&amp;"")</f>
        <v/>
      </c>
      <c r="C167" s="41" t="str">
        <f>IF(ISERROR(VLOOKUP($A167,通讯录!$A:$M,7,FALSE)&amp;""),"",VLOOKUP($A167,通讯录!$A:$M,7,FALSE)&amp;"")</f>
        <v/>
      </c>
      <c r="D167" s="41" t="str">
        <f>IF(ISERROR(VLOOKUP($A167,通讯录!$A:$M,5,FALSE)&amp;""),"",VLOOKUP($A167,通讯录!$A:$M,5,FALSE)&amp;"")</f>
        <v/>
      </c>
      <c r="E167" s="41" t="str">
        <f>IF(ISERROR(VLOOKUP($A167,通讯录!$A:$M,6,FALSE)&amp;""),"",VLOOKUP($A167,通讯录!$A:$M,6,FALSE)&amp;"")</f>
        <v/>
      </c>
      <c r="F167" s="41" t="str">
        <f>IF(ISERROR(VLOOKUP($A167,通讯录!$A:$M,4,FALSE)&amp;""),"",VLOOKUP($A167,通讯录!$A:$M,4,FALSE)&amp;"")</f>
        <v/>
      </c>
      <c r="G167" s="41" t="str">
        <f>IF(ISERROR(VLOOKUP($A167,通讯录!$A:$M,8,FALSE)&amp;""),"",VLOOKUP($A167,通讯录!$A:$M,8,FALSE)&amp;"")</f>
        <v/>
      </c>
      <c r="H167" s="41"/>
      <c r="I167" s="41"/>
      <c r="J167" s="41"/>
      <c r="L167" s="28" t="str">
        <f t="shared" si="1"/>
        <v/>
      </c>
    </row>
    <row r="168" spans="2:12" x14ac:dyDescent="0.15">
      <c r="B168" s="41" t="str">
        <f>IF(ISERROR(VLOOKUP($A168,通讯录!$A:$M,3,FALSE)&amp;""),"",VLOOKUP($A168,通讯录!$A:$M,3,FALSE)&amp;"")</f>
        <v/>
      </c>
      <c r="C168" s="41" t="str">
        <f>IF(ISERROR(VLOOKUP($A168,通讯录!$A:$M,7,FALSE)&amp;""),"",VLOOKUP($A168,通讯录!$A:$M,7,FALSE)&amp;"")</f>
        <v/>
      </c>
      <c r="D168" s="41" t="str">
        <f>IF(ISERROR(VLOOKUP($A168,通讯录!$A:$M,5,FALSE)&amp;""),"",VLOOKUP($A168,通讯录!$A:$M,5,FALSE)&amp;"")</f>
        <v/>
      </c>
      <c r="E168" s="41" t="str">
        <f>IF(ISERROR(VLOOKUP($A168,通讯录!$A:$M,6,FALSE)&amp;""),"",VLOOKUP($A168,通讯录!$A:$M,6,FALSE)&amp;"")</f>
        <v/>
      </c>
      <c r="F168" s="41" t="str">
        <f>IF(ISERROR(VLOOKUP($A168,通讯录!$A:$M,4,FALSE)&amp;""),"",VLOOKUP($A168,通讯录!$A:$M,4,FALSE)&amp;"")</f>
        <v/>
      </c>
      <c r="G168" s="41" t="str">
        <f>IF(ISERROR(VLOOKUP($A168,通讯录!$A:$M,8,FALSE)&amp;""),"",VLOOKUP($A168,通讯录!$A:$M,8,FALSE)&amp;"")</f>
        <v/>
      </c>
      <c r="H168" s="41"/>
      <c r="I168" s="41"/>
      <c r="J168" s="41"/>
      <c r="L168" s="28" t="str">
        <f t="shared" si="1"/>
        <v/>
      </c>
    </row>
    <row r="169" spans="2:12" x14ac:dyDescent="0.15">
      <c r="B169" s="41" t="str">
        <f>IF(ISERROR(VLOOKUP($A169,通讯录!$A:$M,3,FALSE)&amp;""),"",VLOOKUP($A169,通讯录!$A:$M,3,FALSE)&amp;"")</f>
        <v/>
      </c>
      <c r="C169" s="41" t="str">
        <f>IF(ISERROR(VLOOKUP($A169,通讯录!$A:$M,7,FALSE)&amp;""),"",VLOOKUP($A169,通讯录!$A:$M,7,FALSE)&amp;"")</f>
        <v/>
      </c>
      <c r="D169" s="41" t="str">
        <f>IF(ISERROR(VLOOKUP($A169,通讯录!$A:$M,5,FALSE)&amp;""),"",VLOOKUP($A169,通讯录!$A:$M,5,FALSE)&amp;"")</f>
        <v/>
      </c>
      <c r="E169" s="41" t="str">
        <f>IF(ISERROR(VLOOKUP($A169,通讯录!$A:$M,6,FALSE)&amp;""),"",VLOOKUP($A169,通讯录!$A:$M,6,FALSE)&amp;"")</f>
        <v/>
      </c>
      <c r="F169" s="41" t="str">
        <f>IF(ISERROR(VLOOKUP($A169,通讯录!$A:$M,4,FALSE)&amp;""),"",VLOOKUP($A169,通讯录!$A:$M,4,FALSE)&amp;"")</f>
        <v/>
      </c>
      <c r="G169" s="41" t="str">
        <f>IF(ISERROR(VLOOKUP($A169,通讯录!$A:$M,8,FALSE)&amp;""),"",VLOOKUP($A169,通讯录!$A:$M,8,FALSE)&amp;"")</f>
        <v/>
      </c>
      <c r="H169" s="41"/>
      <c r="I169" s="41"/>
      <c r="J169" s="41"/>
      <c r="L169" s="28" t="str">
        <f t="shared" si="1"/>
        <v/>
      </c>
    </row>
    <row r="170" spans="2:12" x14ac:dyDescent="0.15">
      <c r="B170" s="41" t="str">
        <f>IF(ISERROR(VLOOKUP($A170,通讯录!$A:$M,3,FALSE)&amp;""),"",VLOOKUP($A170,通讯录!$A:$M,3,FALSE)&amp;"")</f>
        <v/>
      </c>
      <c r="C170" s="41" t="str">
        <f>IF(ISERROR(VLOOKUP($A170,通讯录!$A:$M,7,FALSE)&amp;""),"",VLOOKUP($A170,通讯录!$A:$M,7,FALSE)&amp;"")</f>
        <v/>
      </c>
      <c r="D170" s="41" t="str">
        <f>IF(ISERROR(VLOOKUP($A170,通讯录!$A:$M,5,FALSE)&amp;""),"",VLOOKUP($A170,通讯录!$A:$M,5,FALSE)&amp;"")</f>
        <v/>
      </c>
      <c r="E170" s="41" t="str">
        <f>IF(ISERROR(VLOOKUP($A170,通讯录!$A:$M,6,FALSE)&amp;""),"",VLOOKUP($A170,通讯录!$A:$M,6,FALSE)&amp;"")</f>
        <v/>
      </c>
      <c r="F170" s="41" t="str">
        <f>IF(ISERROR(VLOOKUP($A170,通讯录!$A:$M,4,FALSE)&amp;""),"",VLOOKUP($A170,通讯录!$A:$M,4,FALSE)&amp;"")</f>
        <v/>
      </c>
      <c r="G170" s="41" t="str">
        <f>IF(ISERROR(VLOOKUP($A170,通讯录!$A:$M,8,FALSE)&amp;""),"",VLOOKUP($A170,通讯录!$A:$M,8,FALSE)&amp;"")</f>
        <v/>
      </c>
      <c r="H170" s="41"/>
      <c r="I170" s="41"/>
      <c r="J170" s="41"/>
      <c r="L170" s="28" t="str">
        <f t="shared" si="1"/>
        <v/>
      </c>
    </row>
    <row r="171" spans="2:12" x14ac:dyDescent="0.15">
      <c r="B171" s="41" t="str">
        <f>IF(ISERROR(VLOOKUP($A171,通讯录!$A:$M,3,FALSE)&amp;""),"",VLOOKUP($A171,通讯录!$A:$M,3,FALSE)&amp;"")</f>
        <v/>
      </c>
      <c r="C171" s="41" t="str">
        <f>IF(ISERROR(VLOOKUP($A171,通讯录!$A:$M,7,FALSE)&amp;""),"",VLOOKUP($A171,通讯录!$A:$M,7,FALSE)&amp;"")</f>
        <v/>
      </c>
      <c r="D171" s="41" t="str">
        <f>IF(ISERROR(VLOOKUP($A171,通讯录!$A:$M,5,FALSE)&amp;""),"",VLOOKUP($A171,通讯录!$A:$M,5,FALSE)&amp;"")</f>
        <v/>
      </c>
      <c r="E171" s="41" t="str">
        <f>IF(ISERROR(VLOOKUP($A171,通讯录!$A:$M,6,FALSE)&amp;""),"",VLOOKUP($A171,通讯录!$A:$M,6,FALSE)&amp;"")</f>
        <v/>
      </c>
      <c r="F171" s="41" t="str">
        <f>IF(ISERROR(VLOOKUP($A171,通讯录!$A:$M,4,FALSE)&amp;""),"",VLOOKUP($A171,通讯录!$A:$M,4,FALSE)&amp;"")</f>
        <v/>
      </c>
      <c r="G171" s="41" t="str">
        <f>IF(ISERROR(VLOOKUP($A171,通讯录!$A:$M,8,FALSE)&amp;""),"",VLOOKUP($A171,通讯录!$A:$M,8,FALSE)&amp;"")</f>
        <v/>
      </c>
      <c r="H171" s="41"/>
      <c r="I171" s="41"/>
      <c r="J171" s="41"/>
      <c r="L171" s="28" t="str">
        <f t="shared" si="1"/>
        <v/>
      </c>
    </row>
    <row r="172" spans="2:12" x14ac:dyDescent="0.15">
      <c r="B172" s="41" t="str">
        <f>IF(ISERROR(VLOOKUP($A172,通讯录!$A:$M,3,FALSE)&amp;""),"",VLOOKUP($A172,通讯录!$A:$M,3,FALSE)&amp;"")</f>
        <v/>
      </c>
      <c r="C172" s="41" t="str">
        <f>IF(ISERROR(VLOOKUP($A172,通讯录!$A:$M,7,FALSE)&amp;""),"",VLOOKUP($A172,通讯录!$A:$M,7,FALSE)&amp;"")</f>
        <v/>
      </c>
      <c r="D172" s="41" t="str">
        <f>IF(ISERROR(VLOOKUP($A172,通讯录!$A:$M,5,FALSE)&amp;""),"",VLOOKUP($A172,通讯录!$A:$M,5,FALSE)&amp;"")</f>
        <v/>
      </c>
      <c r="E172" s="41" t="str">
        <f>IF(ISERROR(VLOOKUP($A172,通讯录!$A:$M,6,FALSE)&amp;""),"",VLOOKUP($A172,通讯录!$A:$M,6,FALSE)&amp;"")</f>
        <v/>
      </c>
      <c r="F172" s="41" t="str">
        <f>IF(ISERROR(VLOOKUP($A172,通讯录!$A:$M,4,FALSE)&amp;""),"",VLOOKUP($A172,通讯录!$A:$M,4,FALSE)&amp;"")</f>
        <v/>
      </c>
      <c r="G172" s="41" t="str">
        <f>IF(ISERROR(VLOOKUP($A172,通讯录!$A:$M,8,FALSE)&amp;""),"",VLOOKUP($A172,通讯录!$A:$M,8,FALSE)&amp;"")</f>
        <v/>
      </c>
      <c r="H172" s="41"/>
      <c r="I172" s="41"/>
      <c r="J172" s="41"/>
      <c r="L172" s="28" t="str">
        <f t="shared" si="1"/>
        <v/>
      </c>
    </row>
    <row r="173" spans="2:12" x14ac:dyDescent="0.15">
      <c r="B173" s="41" t="str">
        <f>IF(ISERROR(VLOOKUP($A173,通讯录!$A:$M,3,FALSE)&amp;""),"",VLOOKUP($A173,通讯录!$A:$M,3,FALSE)&amp;"")</f>
        <v/>
      </c>
      <c r="C173" s="41" t="str">
        <f>IF(ISERROR(VLOOKUP($A173,通讯录!$A:$M,7,FALSE)&amp;""),"",VLOOKUP($A173,通讯录!$A:$M,7,FALSE)&amp;"")</f>
        <v/>
      </c>
      <c r="D173" s="41" t="str">
        <f>IF(ISERROR(VLOOKUP($A173,通讯录!$A:$M,5,FALSE)&amp;""),"",VLOOKUP($A173,通讯录!$A:$M,5,FALSE)&amp;"")</f>
        <v/>
      </c>
      <c r="E173" s="41" t="str">
        <f>IF(ISERROR(VLOOKUP($A173,通讯录!$A:$M,6,FALSE)&amp;""),"",VLOOKUP($A173,通讯录!$A:$M,6,FALSE)&amp;"")</f>
        <v/>
      </c>
      <c r="F173" s="41" t="str">
        <f>IF(ISERROR(VLOOKUP($A173,通讯录!$A:$M,4,FALSE)&amp;""),"",VLOOKUP($A173,通讯录!$A:$M,4,FALSE)&amp;"")</f>
        <v/>
      </c>
      <c r="G173" s="41" t="str">
        <f>IF(ISERROR(VLOOKUP($A173,通讯录!$A:$M,8,FALSE)&amp;""),"",VLOOKUP($A173,通讯录!$A:$M,8,FALSE)&amp;"")</f>
        <v/>
      </c>
      <c r="H173" s="41"/>
      <c r="I173" s="41"/>
      <c r="J173" s="41"/>
      <c r="L173" s="28" t="str">
        <f t="shared" si="1"/>
        <v/>
      </c>
    </row>
    <row r="174" spans="2:12" x14ac:dyDescent="0.15">
      <c r="B174" s="41" t="str">
        <f>IF(ISERROR(VLOOKUP($A174,通讯录!$A:$M,3,FALSE)&amp;""),"",VLOOKUP($A174,通讯录!$A:$M,3,FALSE)&amp;"")</f>
        <v/>
      </c>
      <c r="C174" s="41" t="str">
        <f>IF(ISERROR(VLOOKUP($A174,通讯录!$A:$M,7,FALSE)&amp;""),"",VLOOKUP($A174,通讯录!$A:$M,7,FALSE)&amp;"")</f>
        <v/>
      </c>
      <c r="D174" s="41" t="str">
        <f>IF(ISERROR(VLOOKUP($A174,通讯录!$A:$M,5,FALSE)&amp;""),"",VLOOKUP($A174,通讯录!$A:$M,5,FALSE)&amp;"")</f>
        <v/>
      </c>
      <c r="E174" s="41" t="str">
        <f>IF(ISERROR(VLOOKUP($A174,通讯录!$A:$M,6,FALSE)&amp;""),"",VLOOKUP($A174,通讯录!$A:$M,6,FALSE)&amp;"")</f>
        <v/>
      </c>
      <c r="F174" s="41" t="str">
        <f>IF(ISERROR(VLOOKUP($A174,通讯录!$A:$M,4,FALSE)&amp;""),"",VLOOKUP($A174,通讯录!$A:$M,4,FALSE)&amp;"")</f>
        <v/>
      </c>
      <c r="G174" s="41" t="str">
        <f>IF(ISERROR(VLOOKUP($A174,通讯录!$A:$M,8,FALSE)&amp;""),"",VLOOKUP($A174,通讯录!$A:$M,8,FALSE)&amp;"")</f>
        <v/>
      </c>
      <c r="H174" s="41"/>
      <c r="I174" s="41"/>
      <c r="J174" s="41"/>
      <c r="L174" s="28" t="str">
        <f t="shared" si="1"/>
        <v/>
      </c>
    </row>
    <row r="175" spans="2:12" x14ac:dyDescent="0.15">
      <c r="B175" s="41" t="str">
        <f>IF(ISERROR(VLOOKUP($A175,通讯录!$A:$M,3,FALSE)&amp;""),"",VLOOKUP($A175,通讯录!$A:$M,3,FALSE)&amp;"")</f>
        <v/>
      </c>
      <c r="C175" s="41" t="str">
        <f>IF(ISERROR(VLOOKUP($A175,通讯录!$A:$M,7,FALSE)&amp;""),"",VLOOKUP($A175,通讯录!$A:$M,7,FALSE)&amp;"")</f>
        <v/>
      </c>
      <c r="D175" s="41" t="str">
        <f>IF(ISERROR(VLOOKUP($A175,通讯录!$A:$M,5,FALSE)&amp;""),"",VLOOKUP($A175,通讯录!$A:$M,5,FALSE)&amp;"")</f>
        <v/>
      </c>
      <c r="E175" s="41" t="str">
        <f>IF(ISERROR(VLOOKUP($A175,通讯录!$A:$M,6,FALSE)&amp;""),"",VLOOKUP($A175,通讯录!$A:$M,6,FALSE)&amp;"")</f>
        <v/>
      </c>
      <c r="F175" s="41" t="str">
        <f>IF(ISERROR(VLOOKUP($A175,通讯录!$A:$M,4,FALSE)&amp;""),"",VLOOKUP($A175,通讯录!$A:$M,4,FALSE)&amp;"")</f>
        <v/>
      </c>
      <c r="G175" s="41" t="str">
        <f>IF(ISERROR(VLOOKUP($A175,通讯录!$A:$M,8,FALSE)&amp;""),"",VLOOKUP($A175,通讯录!$A:$M,8,FALSE)&amp;"")</f>
        <v/>
      </c>
      <c r="H175" s="41"/>
      <c r="I175" s="41"/>
      <c r="J175" s="41"/>
      <c r="L175" s="28" t="str">
        <f t="shared" si="1"/>
        <v/>
      </c>
    </row>
    <row r="176" spans="2:12" x14ac:dyDescent="0.15">
      <c r="B176" s="41" t="str">
        <f>IF(ISERROR(VLOOKUP($A176,通讯录!$A:$M,3,FALSE)&amp;""),"",VLOOKUP($A176,通讯录!$A:$M,3,FALSE)&amp;"")</f>
        <v/>
      </c>
      <c r="C176" s="41" t="str">
        <f>IF(ISERROR(VLOOKUP($A176,通讯录!$A:$M,7,FALSE)&amp;""),"",VLOOKUP($A176,通讯录!$A:$M,7,FALSE)&amp;"")</f>
        <v/>
      </c>
      <c r="D176" s="41" t="str">
        <f>IF(ISERROR(VLOOKUP($A176,通讯录!$A:$M,5,FALSE)&amp;""),"",VLOOKUP($A176,通讯录!$A:$M,5,FALSE)&amp;"")</f>
        <v/>
      </c>
      <c r="E176" s="41" t="str">
        <f>IF(ISERROR(VLOOKUP($A176,通讯录!$A:$M,6,FALSE)&amp;""),"",VLOOKUP($A176,通讯录!$A:$M,6,FALSE)&amp;"")</f>
        <v/>
      </c>
      <c r="F176" s="41" t="str">
        <f>IF(ISERROR(VLOOKUP($A176,通讯录!$A:$M,4,FALSE)&amp;""),"",VLOOKUP($A176,通讯录!$A:$M,4,FALSE)&amp;"")</f>
        <v/>
      </c>
      <c r="G176" s="41" t="str">
        <f>IF(ISERROR(VLOOKUP($A176,通讯录!$A:$M,8,FALSE)&amp;""),"",VLOOKUP($A176,通讯录!$A:$M,8,FALSE)&amp;"")</f>
        <v/>
      </c>
      <c r="H176" s="41"/>
      <c r="I176" s="41"/>
      <c r="J176" s="41"/>
      <c r="L176" s="28" t="str">
        <f t="shared" si="1"/>
        <v/>
      </c>
    </row>
    <row r="177" spans="2:12" x14ac:dyDescent="0.15">
      <c r="B177" s="41" t="str">
        <f>IF(ISERROR(VLOOKUP($A177,通讯录!$A:$M,3,FALSE)&amp;""),"",VLOOKUP($A177,通讯录!$A:$M,3,FALSE)&amp;"")</f>
        <v/>
      </c>
      <c r="C177" s="41" t="str">
        <f>IF(ISERROR(VLOOKUP($A177,通讯录!$A:$M,7,FALSE)&amp;""),"",VLOOKUP($A177,通讯录!$A:$M,7,FALSE)&amp;"")</f>
        <v/>
      </c>
      <c r="D177" s="41" t="str">
        <f>IF(ISERROR(VLOOKUP($A177,通讯录!$A:$M,5,FALSE)&amp;""),"",VLOOKUP($A177,通讯录!$A:$M,5,FALSE)&amp;"")</f>
        <v/>
      </c>
      <c r="E177" s="41" t="str">
        <f>IF(ISERROR(VLOOKUP($A177,通讯录!$A:$M,6,FALSE)&amp;""),"",VLOOKUP($A177,通讯录!$A:$M,6,FALSE)&amp;"")</f>
        <v/>
      </c>
      <c r="F177" s="41" t="str">
        <f>IF(ISERROR(VLOOKUP($A177,通讯录!$A:$M,4,FALSE)&amp;""),"",VLOOKUP($A177,通讯录!$A:$M,4,FALSE)&amp;"")</f>
        <v/>
      </c>
      <c r="G177" s="41" t="str">
        <f>IF(ISERROR(VLOOKUP($A177,通讯录!$A:$M,8,FALSE)&amp;""),"",VLOOKUP($A177,通讯录!$A:$M,8,FALSE)&amp;"")</f>
        <v/>
      </c>
      <c r="H177" s="41"/>
      <c r="I177" s="41"/>
      <c r="J177" s="41"/>
      <c r="L177" s="28" t="str">
        <f t="shared" si="1"/>
        <v/>
      </c>
    </row>
    <row r="178" spans="2:12" x14ac:dyDescent="0.15">
      <c r="B178" s="41" t="str">
        <f>IF(ISERROR(VLOOKUP($A178,通讯录!$A:$M,3,FALSE)&amp;""),"",VLOOKUP($A178,通讯录!$A:$M,3,FALSE)&amp;"")</f>
        <v/>
      </c>
      <c r="C178" s="41" t="str">
        <f>IF(ISERROR(VLOOKUP($A178,通讯录!$A:$M,7,FALSE)&amp;""),"",VLOOKUP($A178,通讯录!$A:$M,7,FALSE)&amp;"")</f>
        <v/>
      </c>
      <c r="D178" s="41" t="str">
        <f>IF(ISERROR(VLOOKUP($A178,通讯录!$A:$M,5,FALSE)&amp;""),"",VLOOKUP($A178,通讯录!$A:$M,5,FALSE)&amp;"")</f>
        <v/>
      </c>
      <c r="E178" s="41" t="str">
        <f>IF(ISERROR(VLOOKUP($A178,通讯录!$A:$M,6,FALSE)&amp;""),"",VLOOKUP($A178,通讯录!$A:$M,6,FALSE)&amp;"")</f>
        <v/>
      </c>
      <c r="F178" s="41" t="str">
        <f>IF(ISERROR(VLOOKUP($A178,通讯录!$A:$M,4,FALSE)&amp;""),"",VLOOKUP($A178,通讯录!$A:$M,4,FALSE)&amp;"")</f>
        <v/>
      </c>
      <c r="G178" s="41" t="str">
        <f>IF(ISERROR(VLOOKUP($A178,通讯录!$A:$M,8,FALSE)&amp;""),"",VLOOKUP($A178,通讯录!$A:$M,8,FALSE)&amp;"")</f>
        <v/>
      </c>
      <c r="H178" s="41"/>
      <c r="I178" s="41"/>
      <c r="J178" s="41"/>
      <c r="L178" s="28" t="str">
        <f t="shared" si="1"/>
        <v/>
      </c>
    </row>
    <row r="179" spans="2:12" x14ac:dyDescent="0.15">
      <c r="B179" s="41" t="str">
        <f>IF(ISERROR(VLOOKUP($A179,通讯录!$A:$M,3,FALSE)&amp;""),"",VLOOKUP($A179,通讯录!$A:$M,3,FALSE)&amp;"")</f>
        <v/>
      </c>
      <c r="C179" s="41" t="str">
        <f>IF(ISERROR(VLOOKUP($A179,通讯录!$A:$M,7,FALSE)&amp;""),"",VLOOKUP($A179,通讯录!$A:$M,7,FALSE)&amp;"")</f>
        <v/>
      </c>
      <c r="D179" s="41" t="str">
        <f>IF(ISERROR(VLOOKUP($A179,通讯录!$A:$M,5,FALSE)&amp;""),"",VLOOKUP($A179,通讯录!$A:$M,5,FALSE)&amp;"")</f>
        <v/>
      </c>
      <c r="E179" s="41" t="str">
        <f>IF(ISERROR(VLOOKUP($A179,通讯录!$A:$M,6,FALSE)&amp;""),"",VLOOKUP($A179,通讯录!$A:$M,6,FALSE)&amp;"")</f>
        <v/>
      </c>
      <c r="F179" s="41" t="str">
        <f>IF(ISERROR(VLOOKUP($A179,通讯录!$A:$M,4,FALSE)&amp;""),"",VLOOKUP($A179,通讯录!$A:$M,4,FALSE)&amp;"")</f>
        <v/>
      </c>
      <c r="G179" s="41" t="str">
        <f>IF(ISERROR(VLOOKUP($A179,通讯录!$A:$M,8,FALSE)&amp;""),"",VLOOKUP($A179,通讯录!$A:$M,8,FALSE)&amp;"")</f>
        <v/>
      </c>
      <c r="H179" s="41"/>
      <c r="I179" s="41"/>
      <c r="J179" s="41"/>
      <c r="L179" s="28" t="str">
        <f t="shared" ref="L179:L242" si="2">LEFT(A179,1)</f>
        <v/>
      </c>
    </row>
    <row r="180" spans="2:12" x14ac:dyDescent="0.15">
      <c r="B180" s="41" t="str">
        <f>IF(ISERROR(VLOOKUP($A180,通讯录!$A:$M,3,FALSE)&amp;""),"",VLOOKUP($A180,通讯录!$A:$M,3,FALSE)&amp;"")</f>
        <v/>
      </c>
      <c r="C180" s="41" t="str">
        <f>IF(ISERROR(VLOOKUP($A180,通讯录!$A:$M,7,FALSE)&amp;""),"",VLOOKUP($A180,通讯录!$A:$M,7,FALSE)&amp;"")</f>
        <v/>
      </c>
      <c r="D180" s="41" t="str">
        <f>IF(ISERROR(VLOOKUP($A180,通讯录!$A:$M,5,FALSE)&amp;""),"",VLOOKUP($A180,通讯录!$A:$M,5,FALSE)&amp;"")</f>
        <v/>
      </c>
      <c r="E180" s="41" t="str">
        <f>IF(ISERROR(VLOOKUP($A180,通讯录!$A:$M,6,FALSE)&amp;""),"",VLOOKUP($A180,通讯录!$A:$M,6,FALSE)&amp;"")</f>
        <v/>
      </c>
      <c r="F180" s="41" t="str">
        <f>IF(ISERROR(VLOOKUP($A180,通讯录!$A:$M,4,FALSE)&amp;""),"",VLOOKUP($A180,通讯录!$A:$M,4,FALSE)&amp;"")</f>
        <v/>
      </c>
      <c r="G180" s="41" t="str">
        <f>IF(ISERROR(VLOOKUP($A180,通讯录!$A:$M,8,FALSE)&amp;""),"",VLOOKUP($A180,通讯录!$A:$M,8,FALSE)&amp;"")</f>
        <v/>
      </c>
      <c r="H180" s="41"/>
      <c r="I180" s="41"/>
      <c r="J180" s="41"/>
      <c r="L180" s="28" t="str">
        <f t="shared" si="2"/>
        <v/>
      </c>
    </row>
    <row r="181" spans="2:12" x14ac:dyDescent="0.15">
      <c r="B181" s="41" t="str">
        <f>IF(ISERROR(VLOOKUP($A181,通讯录!$A:$M,3,FALSE)&amp;""),"",VLOOKUP($A181,通讯录!$A:$M,3,FALSE)&amp;"")</f>
        <v/>
      </c>
      <c r="C181" s="41" t="str">
        <f>IF(ISERROR(VLOOKUP($A181,通讯录!$A:$M,7,FALSE)&amp;""),"",VLOOKUP($A181,通讯录!$A:$M,7,FALSE)&amp;"")</f>
        <v/>
      </c>
      <c r="D181" s="41" t="str">
        <f>IF(ISERROR(VLOOKUP($A181,通讯录!$A:$M,5,FALSE)&amp;""),"",VLOOKUP($A181,通讯录!$A:$M,5,FALSE)&amp;"")</f>
        <v/>
      </c>
      <c r="E181" s="41" t="str">
        <f>IF(ISERROR(VLOOKUP($A181,通讯录!$A:$M,6,FALSE)&amp;""),"",VLOOKUP($A181,通讯录!$A:$M,6,FALSE)&amp;"")</f>
        <v/>
      </c>
      <c r="F181" s="41" t="str">
        <f>IF(ISERROR(VLOOKUP($A181,通讯录!$A:$M,4,FALSE)&amp;""),"",VLOOKUP($A181,通讯录!$A:$M,4,FALSE)&amp;"")</f>
        <v/>
      </c>
      <c r="G181" s="41" t="str">
        <f>IF(ISERROR(VLOOKUP($A181,通讯录!$A:$M,8,FALSE)&amp;""),"",VLOOKUP($A181,通讯录!$A:$M,8,FALSE)&amp;"")</f>
        <v/>
      </c>
      <c r="H181" s="41"/>
      <c r="I181" s="41"/>
      <c r="J181" s="41"/>
      <c r="L181" s="28" t="str">
        <f t="shared" si="2"/>
        <v/>
      </c>
    </row>
    <row r="182" spans="2:12" x14ac:dyDescent="0.15">
      <c r="B182" s="41" t="str">
        <f>IF(ISERROR(VLOOKUP($A182,通讯录!$A:$M,3,FALSE)&amp;""),"",VLOOKUP($A182,通讯录!$A:$M,3,FALSE)&amp;"")</f>
        <v/>
      </c>
      <c r="C182" s="41" t="str">
        <f>IF(ISERROR(VLOOKUP($A182,通讯录!$A:$M,7,FALSE)&amp;""),"",VLOOKUP($A182,通讯录!$A:$M,7,FALSE)&amp;"")</f>
        <v/>
      </c>
      <c r="D182" s="41" t="str">
        <f>IF(ISERROR(VLOOKUP($A182,通讯录!$A:$M,5,FALSE)&amp;""),"",VLOOKUP($A182,通讯录!$A:$M,5,FALSE)&amp;"")</f>
        <v/>
      </c>
      <c r="E182" s="41" t="str">
        <f>IF(ISERROR(VLOOKUP($A182,通讯录!$A:$M,6,FALSE)&amp;""),"",VLOOKUP($A182,通讯录!$A:$M,6,FALSE)&amp;"")</f>
        <v/>
      </c>
      <c r="F182" s="41" t="str">
        <f>IF(ISERROR(VLOOKUP($A182,通讯录!$A:$M,4,FALSE)&amp;""),"",VLOOKUP($A182,通讯录!$A:$M,4,FALSE)&amp;"")</f>
        <v/>
      </c>
      <c r="G182" s="41" t="str">
        <f>IF(ISERROR(VLOOKUP($A182,通讯录!$A:$M,8,FALSE)&amp;""),"",VLOOKUP($A182,通讯录!$A:$M,8,FALSE)&amp;"")</f>
        <v/>
      </c>
      <c r="H182" s="41"/>
      <c r="I182" s="41"/>
      <c r="J182" s="41"/>
      <c r="L182" s="28" t="str">
        <f t="shared" si="2"/>
        <v/>
      </c>
    </row>
    <row r="183" spans="2:12" x14ac:dyDescent="0.15">
      <c r="B183" s="41" t="str">
        <f>IF(ISERROR(VLOOKUP($A183,通讯录!$A:$M,3,FALSE)&amp;""),"",VLOOKUP($A183,通讯录!$A:$M,3,FALSE)&amp;"")</f>
        <v/>
      </c>
      <c r="C183" s="41" t="str">
        <f>IF(ISERROR(VLOOKUP($A183,通讯录!$A:$M,7,FALSE)&amp;""),"",VLOOKUP($A183,通讯录!$A:$M,7,FALSE)&amp;"")</f>
        <v/>
      </c>
      <c r="D183" s="41" t="str">
        <f>IF(ISERROR(VLOOKUP($A183,通讯录!$A:$M,5,FALSE)&amp;""),"",VLOOKUP($A183,通讯录!$A:$M,5,FALSE)&amp;"")</f>
        <v/>
      </c>
      <c r="E183" s="41" t="str">
        <f>IF(ISERROR(VLOOKUP($A183,通讯录!$A:$M,6,FALSE)&amp;""),"",VLOOKUP($A183,通讯录!$A:$M,6,FALSE)&amp;"")</f>
        <v/>
      </c>
      <c r="F183" s="41" t="str">
        <f>IF(ISERROR(VLOOKUP($A183,通讯录!$A:$M,4,FALSE)&amp;""),"",VLOOKUP($A183,通讯录!$A:$M,4,FALSE)&amp;"")</f>
        <v/>
      </c>
      <c r="G183" s="41" t="str">
        <f>IF(ISERROR(VLOOKUP($A183,通讯录!$A:$M,8,FALSE)&amp;""),"",VLOOKUP($A183,通讯录!$A:$M,8,FALSE)&amp;"")</f>
        <v/>
      </c>
      <c r="H183" s="41"/>
      <c r="I183" s="41"/>
      <c r="J183" s="41"/>
      <c r="L183" s="28" t="str">
        <f t="shared" si="2"/>
        <v/>
      </c>
    </row>
    <row r="184" spans="2:12" x14ac:dyDescent="0.15">
      <c r="B184" s="41" t="str">
        <f>IF(ISERROR(VLOOKUP($A184,通讯录!$A:$M,3,FALSE)&amp;""),"",VLOOKUP($A184,通讯录!$A:$M,3,FALSE)&amp;"")</f>
        <v/>
      </c>
      <c r="C184" s="41" t="str">
        <f>IF(ISERROR(VLOOKUP($A184,通讯录!$A:$M,7,FALSE)&amp;""),"",VLOOKUP($A184,通讯录!$A:$M,7,FALSE)&amp;"")</f>
        <v/>
      </c>
      <c r="D184" s="41" t="str">
        <f>IF(ISERROR(VLOOKUP($A184,通讯录!$A:$M,5,FALSE)&amp;""),"",VLOOKUP($A184,通讯录!$A:$M,5,FALSE)&amp;"")</f>
        <v/>
      </c>
      <c r="E184" s="41" t="str">
        <f>IF(ISERROR(VLOOKUP($A184,通讯录!$A:$M,6,FALSE)&amp;""),"",VLOOKUP($A184,通讯录!$A:$M,6,FALSE)&amp;"")</f>
        <v/>
      </c>
      <c r="F184" s="41" t="str">
        <f>IF(ISERROR(VLOOKUP($A184,通讯录!$A:$M,4,FALSE)&amp;""),"",VLOOKUP($A184,通讯录!$A:$M,4,FALSE)&amp;"")</f>
        <v/>
      </c>
      <c r="G184" s="41" t="str">
        <f>IF(ISERROR(VLOOKUP($A184,通讯录!$A:$M,8,FALSE)&amp;""),"",VLOOKUP($A184,通讯录!$A:$M,8,FALSE)&amp;"")</f>
        <v/>
      </c>
      <c r="H184" s="41"/>
      <c r="I184" s="41"/>
      <c r="J184" s="41"/>
      <c r="L184" s="28" t="str">
        <f t="shared" si="2"/>
        <v/>
      </c>
    </row>
    <row r="185" spans="2:12" x14ac:dyDescent="0.15">
      <c r="B185" s="41" t="str">
        <f>IF(ISERROR(VLOOKUP($A185,通讯录!$A:$M,3,FALSE)&amp;""),"",VLOOKUP($A185,通讯录!$A:$M,3,FALSE)&amp;"")</f>
        <v/>
      </c>
      <c r="C185" s="41" t="str">
        <f>IF(ISERROR(VLOOKUP($A185,通讯录!$A:$M,7,FALSE)&amp;""),"",VLOOKUP($A185,通讯录!$A:$M,7,FALSE)&amp;"")</f>
        <v/>
      </c>
      <c r="D185" s="41" t="str">
        <f>IF(ISERROR(VLOOKUP($A185,通讯录!$A:$M,5,FALSE)&amp;""),"",VLOOKUP($A185,通讯录!$A:$M,5,FALSE)&amp;"")</f>
        <v/>
      </c>
      <c r="E185" s="41" t="str">
        <f>IF(ISERROR(VLOOKUP($A185,通讯录!$A:$M,6,FALSE)&amp;""),"",VLOOKUP($A185,通讯录!$A:$M,6,FALSE)&amp;"")</f>
        <v/>
      </c>
      <c r="F185" s="41" t="str">
        <f>IF(ISERROR(VLOOKUP($A185,通讯录!$A:$M,4,FALSE)&amp;""),"",VLOOKUP($A185,通讯录!$A:$M,4,FALSE)&amp;"")</f>
        <v/>
      </c>
      <c r="G185" s="41" t="str">
        <f>IF(ISERROR(VLOOKUP($A185,通讯录!$A:$M,8,FALSE)&amp;""),"",VLOOKUP($A185,通讯录!$A:$M,8,FALSE)&amp;"")</f>
        <v/>
      </c>
      <c r="H185" s="41"/>
      <c r="I185" s="41"/>
      <c r="J185" s="41"/>
      <c r="L185" s="28" t="str">
        <f t="shared" si="2"/>
        <v/>
      </c>
    </row>
    <row r="186" spans="2:12" x14ac:dyDescent="0.15">
      <c r="B186" s="41" t="str">
        <f>IF(ISERROR(VLOOKUP($A186,通讯录!$A:$M,3,FALSE)&amp;""),"",VLOOKUP($A186,通讯录!$A:$M,3,FALSE)&amp;"")</f>
        <v/>
      </c>
      <c r="C186" s="41" t="str">
        <f>IF(ISERROR(VLOOKUP($A186,通讯录!$A:$M,7,FALSE)&amp;""),"",VLOOKUP($A186,通讯录!$A:$M,7,FALSE)&amp;"")</f>
        <v/>
      </c>
      <c r="D186" s="41" t="str">
        <f>IF(ISERROR(VLOOKUP($A186,通讯录!$A:$M,5,FALSE)&amp;""),"",VLOOKUP($A186,通讯录!$A:$M,5,FALSE)&amp;"")</f>
        <v/>
      </c>
      <c r="E186" s="41" t="str">
        <f>IF(ISERROR(VLOOKUP($A186,通讯录!$A:$M,6,FALSE)&amp;""),"",VLOOKUP($A186,通讯录!$A:$M,6,FALSE)&amp;"")</f>
        <v/>
      </c>
      <c r="F186" s="41" t="str">
        <f>IF(ISERROR(VLOOKUP($A186,通讯录!$A:$M,4,FALSE)&amp;""),"",VLOOKUP($A186,通讯录!$A:$M,4,FALSE)&amp;"")</f>
        <v/>
      </c>
      <c r="G186" s="41" t="str">
        <f>IF(ISERROR(VLOOKUP($A186,通讯录!$A:$M,8,FALSE)&amp;""),"",VLOOKUP($A186,通讯录!$A:$M,8,FALSE)&amp;"")</f>
        <v/>
      </c>
      <c r="H186" s="41"/>
      <c r="I186" s="41"/>
      <c r="J186" s="41"/>
      <c r="L186" s="28" t="str">
        <f t="shared" si="2"/>
        <v/>
      </c>
    </row>
    <row r="187" spans="2:12" x14ac:dyDescent="0.15">
      <c r="B187" s="41" t="str">
        <f>IF(ISERROR(VLOOKUP($A187,通讯录!$A:$M,3,FALSE)&amp;""),"",VLOOKUP($A187,通讯录!$A:$M,3,FALSE)&amp;"")</f>
        <v/>
      </c>
      <c r="C187" s="41" t="str">
        <f>IF(ISERROR(VLOOKUP($A187,通讯录!$A:$M,7,FALSE)&amp;""),"",VLOOKUP($A187,通讯录!$A:$M,7,FALSE)&amp;"")</f>
        <v/>
      </c>
      <c r="D187" s="41" t="str">
        <f>IF(ISERROR(VLOOKUP($A187,通讯录!$A:$M,5,FALSE)&amp;""),"",VLOOKUP($A187,通讯录!$A:$M,5,FALSE)&amp;"")</f>
        <v/>
      </c>
      <c r="E187" s="41" t="str">
        <f>IF(ISERROR(VLOOKUP($A187,通讯录!$A:$M,6,FALSE)&amp;""),"",VLOOKUP($A187,通讯录!$A:$M,6,FALSE)&amp;"")</f>
        <v/>
      </c>
      <c r="F187" s="41" t="str">
        <f>IF(ISERROR(VLOOKUP($A187,通讯录!$A:$M,4,FALSE)&amp;""),"",VLOOKUP($A187,通讯录!$A:$M,4,FALSE)&amp;"")</f>
        <v/>
      </c>
      <c r="G187" s="41" t="str">
        <f>IF(ISERROR(VLOOKUP($A187,通讯录!$A:$M,8,FALSE)&amp;""),"",VLOOKUP($A187,通讯录!$A:$M,8,FALSE)&amp;"")</f>
        <v/>
      </c>
      <c r="H187" s="41"/>
      <c r="I187" s="41"/>
      <c r="J187" s="41"/>
      <c r="L187" s="28" t="str">
        <f t="shared" si="2"/>
        <v/>
      </c>
    </row>
    <row r="188" spans="2:12" x14ac:dyDescent="0.15">
      <c r="B188" s="41" t="str">
        <f>IF(ISERROR(VLOOKUP($A188,通讯录!$A:$M,3,FALSE)&amp;""),"",VLOOKUP($A188,通讯录!$A:$M,3,FALSE)&amp;"")</f>
        <v/>
      </c>
      <c r="C188" s="41" t="str">
        <f>IF(ISERROR(VLOOKUP($A188,通讯录!$A:$M,7,FALSE)&amp;""),"",VLOOKUP($A188,通讯录!$A:$M,7,FALSE)&amp;"")</f>
        <v/>
      </c>
      <c r="D188" s="41" t="str">
        <f>IF(ISERROR(VLOOKUP($A188,通讯录!$A:$M,5,FALSE)&amp;""),"",VLOOKUP($A188,通讯录!$A:$M,5,FALSE)&amp;"")</f>
        <v/>
      </c>
      <c r="E188" s="41" t="str">
        <f>IF(ISERROR(VLOOKUP($A188,通讯录!$A:$M,6,FALSE)&amp;""),"",VLOOKUP($A188,通讯录!$A:$M,6,FALSE)&amp;"")</f>
        <v/>
      </c>
      <c r="F188" s="41" t="str">
        <f>IF(ISERROR(VLOOKUP($A188,通讯录!$A:$M,4,FALSE)&amp;""),"",VLOOKUP($A188,通讯录!$A:$M,4,FALSE)&amp;"")</f>
        <v/>
      </c>
      <c r="G188" s="41" t="str">
        <f>IF(ISERROR(VLOOKUP($A188,通讯录!$A:$M,8,FALSE)&amp;""),"",VLOOKUP($A188,通讯录!$A:$M,8,FALSE)&amp;"")</f>
        <v/>
      </c>
      <c r="H188" s="41"/>
      <c r="I188" s="41"/>
      <c r="J188" s="41"/>
      <c r="L188" s="28" t="str">
        <f t="shared" si="2"/>
        <v/>
      </c>
    </row>
    <row r="189" spans="2:12" x14ac:dyDescent="0.15">
      <c r="B189" s="41" t="str">
        <f>IF(ISERROR(VLOOKUP($A189,通讯录!$A:$M,3,FALSE)&amp;""),"",VLOOKUP($A189,通讯录!$A:$M,3,FALSE)&amp;"")</f>
        <v/>
      </c>
      <c r="C189" s="41" t="str">
        <f>IF(ISERROR(VLOOKUP($A189,通讯录!$A:$M,7,FALSE)&amp;""),"",VLOOKUP($A189,通讯录!$A:$M,7,FALSE)&amp;"")</f>
        <v/>
      </c>
      <c r="D189" s="41" t="str">
        <f>IF(ISERROR(VLOOKUP($A189,通讯录!$A:$M,5,FALSE)&amp;""),"",VLOOKUP($A189,通讯录!$A:$M,5,FALSE)&amp;"")</f>
        <v/>
      </c>
      <c r="E189" s="41" t="str">
        <f>IF(ISERROR(VLOOKUP($A189,通讯录!$A:$M,6,FALSE)&amp;""),"",VLOOKUP($A189,通讯录!$A:$M,6,FALSE)&amp;"")</f>
        <v/>
      </c>
      <c r="F189" s="41" t="str">
        <f>IF(ISERROR(VLOOKUP($A189,通讯录!$A:$M,4,FALSE)&amp;""),"",VLOOKUP($A189,通讯录!$A:$M,4,FALSE)&amp;"")</f>
        <v/>
      </c>
      <c r="G189" s="41" t="str">
        <f>IF(ISERROR(VLOOKUP($A189,通讯录!$A:$M,8,FALSE)&amp;""),"",VLOOKUP($A189,通讯录!$A:$M,8,FALSE)&amp;"")</f>
        <v/>
      </c>
      <c r="H189" s="41"/>
      <c r="I189" s="41"/>
      <c r="J189" s="41"/>
      <c r="L189" s="28" t="str">
        <f t="shared" si="2"/>
        <v/>
      </c>
    </row>
    <row r="190" spans="2:12" x14ac:dyDescent="0.15">
      <c r="B190" s="41" t="str">
        <f>IF(ISERROR(VLOOKUP($A190,通讯录!$A:$M,3,FALSE)&amp;""),"",VLOOKUP($A190,通讯录!$A:$M,3,FALSE)&amp;"")</f>
        <v/>
      </c>
      <c r="C190" s="41" t="str">
        <f>IF(ISERROR(VLOOKUP($A190,通讯录!$A:$M,7,FALSE)&amp;""),"",VLOOKUP($A190,通讯录!$A:$M,7,FALSE)&amp;"")</f>
        <v/>
      </c>
      <c r="D190" s="41" t="str">
        <f>IF(ISERROR(VLOOKUP($A190,通讯录!$A:$M,5,FALSE)&amp;""),"",VLOOKUP($A190,通讯录!$A:$M,5,FALSE)&amp;"")</f>
        <v/>
      </c>
      <c r="E190" s="41" t="str">
        <f>IF(ISERROR(VLOOKUP($A190,通讯录!$A:$M,6,FALSE)&amp;""),"",VLOOKUP($A190,通讯录!$A:$M,6,FALSE)&amp;"")</f>
        <v/>
      </c>
      <c r="F190" s="41" t="str">
        <f>IF(ISERROR(VLOOKUP($A190,通讯录!$A:$M,4,FALSE)&amp;""),"",VLOOKUP($A190,通讯录!$A:$M,4,FALSE)&amp;"")</f>
        <v/>
      </c>
      <c r="G190" s="41" t="str">
        <f>IF(ISERROR(VLOOKUP($A190,通讯录!$A:$M,8,FALSE)&amp;""),"",VLOOKUP($A190,通讯录!$A:$M,8,FALSE)&amp;"")</f>
        <v/>
      </c>
      <c r="H190" s="41"/>
      <c r="I190" s="41"/>
      <c r="J190" s="41"/>
      <c r="L190" s="28" t="str">
        <f t="shared" si="2"/>
        <v/>
      </c>
    </row>
    <row r="191" spans="2:12" x14ac:dyDescent="0.15">
      <c r="B191" s="41" t="str">
        <f>IF(ISERROR(VLOOKUP($A191,通讯录!$A:$M,3,FALSE)&amp;""),"",VLOOKUP($A191,通讯录!$A:$M,3,FALSE)&amp;"")</f>
        <v/>
      </c>
      <c r="C191" s="41" t="str">
        <f>IF(ISERROR(VLOOKUP($A191,通讯录!$A:$M,7,FALSE)&amp;""),"",VLOOKUP($A191,通讯录!$A:$M,7,FALSE)&amp;"")</f>
        <v/>
      </c>
      <c r="D191" s="41" t="str">
        <f>IF(ISERROR(VLOOKUP($A191,通讯录!$A:$M,5,FALSE)&amp;""),"",VLOOKUP($A191,通讯录!$A:$M,5,FALSE)&amp;"")</f>
        <v/>
      </c>
      <c r="E191" s="41" t="str">
        <f>IF(ISERROR(VLOOKUP($A191,通讯录!$A:$M,6,FALSE)&amp;""),"",VLOOKUP($A191,通讯录!$A:$M,6,FALSE)&amp;"")</f>
        <v/>
      </c>
      <c r="F191" s="41" t="str">
        <f>IF(ISERROR(VLOOKUP($A191,通讯录!$A:$M,4,FALSE)&amp;""),"",VLOOKUP($A191,通讯录!$A:$M,4,FALSE)&amp;"")</f>
        <v/>
      </c>
      <c r="G191" s="41" t="str">
        <f>IF(ISERROR(VLOOKUP($A191,通讯录!$A:$M,8,FALSE)&amp;""),"",VLOOKUP($A191,通讯录!$A:$M,8,FALSE)&amp;"")</f>
        <v/>
      </c>
      <c r="H191" s="41"/>
      <c r="I191" s="41"/>
      <c r="J191" s="41"/>
      <c r="L191" s="28" t="str">
        <f t="shared" si="2"/>
        <v/>
      </c>
    </row>
    <row r="192" spans="2:12" x14ac:dyDescent="0.15">
      <c r="B192" s="41" t="str">
        <f>IF(ISERROR(VLOOKUP($A192,通讯录!$A:$M,3,FALSE)&amp;""),"",VLOOKUP($A192,通讯录!$A:$M,3,FALSE)&amp;"")</f>
        <v/>
      </c>
      <c r="C192" s="41" t="str">
        <f>IF(ISERROR(VLOOKUP($A192,通讯录!$A:$M,7,FALSE)&amp;""),"",VLOOKUP($A192,通讯录!$A:$M,7,FALSE)&amp;"")</f>
        <v/>
      </c>
      <c r="D192" s="41" t="str">
        <f>IF(ISERROR(VLOOKUP($A192,通讯录!$A:$M,5,FALSE)&amp;""),"",VLOOKUP($A192,通讯录!$A:$M,5,FALSE)&amp;"")</f>
        <v/>
      </c>
      <c r="E192" s="41" t="str">
        <f>IF(ISERROR(VLOOKUP($A192,通讯录!$A:$M,6,FALSE)&amp;""),"",VLOOKUP($A192,通讯录!$A:$M,6,FALSE)&amp;"")</f>
        <v/>
      </c>
      <c r="F192" s="41" t="str">
        <f>IF(ISERROR(VLOOKUP($A192,通讯录!$A:$M,4,FALSE)&amp;""),"",VLOOKUP($A192,通讯录!$A:$M,4,FALSE)&amp;"")</f>
        <v/>
      </c>
      <c r="G192" s="41" t="str">
        <f>IF(ISERROR(VLOOKUP($A192,通讯录!$A:$M,8,FALSE)&amp;""),"",VLOOKUP($A192,通讯录!$A:$M,8,FALSE)&amp;"")</f>
        <v/>
      </c>
      <c r="H192" s="41"/>
      <c r="I192" s="41"/>
      <c r="J192" s="41"/>
      <c r="L192" s="28" t="str">
        <f t="shared" si="2"/>
        <v/>
      </c>
    </row>
    <row r="193" spans="2:12" x14ac:dyDescent="0.15">
      <c r="B193" s="41" t="str">
        <f>IF(ISERROR(VLOOKUP($A193,通讯录!$A:$M,3,FALSE)&amp;""),"",VLOOKUP($A193,通讯录!$A:$M,3,FALSE)&amp;"")</f>
        <v/>
      </c>
      <c r="C193" s="41" t="str">
        <f>IF(ISERROR(VLOOKUP($A193,通讯录!$A:$M,7,FALSE)&amp;""),"",VLOOKUP($A193,通讯录!$A:$M,7,FALSE)&amp;"")</f>
        <v/>
      </c>
      <c r="D193" s="41" t="str">
        <f>IF(ISERROR(VLOOKUP($A193,通讯录!$A:$M,5,FALSE)&amp;""),"",VLOOKUP($A193,通讯录!$A:$M,5,FALSE)&amp;"")</f>
        <v/>
      </c>
      <c r="E193" s="41" t="str">
        <f>IF(ISERROR(VLOOKUP($A193,通讯录!$A:$M,6,FALSE)&amp;""),"",VLOOKUP($A193,通讯录!$A:$M,6,FALSE)&amp;"")</f>
        <v/>
      </c>
      <c r="F193" s="41" t="str">
        <f>IF(ISERROR(VLOOKUP($A193,通讯录!$A:$M,4,FALSE)&amp;""),"",VLOOKUP($A193,通讯录!$A:$M,4,FALSE)&amp;"")</f>
        <v/>
      </c>
      <c r="G193" s="41" t="str">
        <f>IF(ISERROR(VLOOKUP($A193,通讯录!$A:$M,8,FALSE)&amp;""),"",VLOOKUP($A193,通讯录!$A:$M,8,FALSE)&amp;"")</f>
        <v/>
      </c>
      <c r="H193" s="41"/>
      <c r="I193" s="41"/>
      <c r="J193" s="41"/>
      <c r="L193" s="28" t="str">
        <f t="shared" si="2"/>
        <v/>
      </c>
    </row>
    <row r="194" spans="2:12" x14ac:dyDescent="0.15">
      <c r="B194" s="41" t="str">
        <f>IF(ISERROR(VLOOKUP($A194,通讯录!$A:$M,3,FALSE)&amp;""),"",VLOOKUP($A194,通讯录!$A:$M,3,FALSE)&amp;"")</f>
        <v/>
      </c>
      <c r="C194" s="41" t="str">
        <f>IF(ISERROR(VLOOKUP($A194,通讯录!$A:$M,7,FALSE)&amp;""),"",VLOOKUP($A194,通讯录!$A:$M,7,FALSE)&amp;"")</f>
        <v/>
      </c>
      <c r="D194" s="41" t="str">
        <f>IF(ISERROR(VLOOKUP($A194,通讯录!$A:$M,5,FALSE)&amp;""),"",VLOOKUP($A194,通讯录!$A:$M,5,FALSE)&amp;"")</f>
        <v/>
      </c>
      <c r="E194" s="41" t="str">
        <f>IF(ISERROR(VLOOKUP($A194,通讯录!$A:$M,6,FALSE)&amp;""),"",VLOOKUP($A194,通讯录!$A:$M,6,FALSE)&amp;"")</f>
        <v/>
      </c>
      <c r="F194" s="41" t="str">
        <f>IF(ISERROR(VLOOKUP($A194,通讯录!$A:$M,4,FALSE)&amp;""),"",VLOOKUP($A194,通讯录!$A:$M,4,FALSE)&amp;"")</f>
        <v/>
      </c>
      <c r="G194" s="41" t="str">
        <f>IF(ISERROR(VLOOKUP($A194,通讯录!$A:$M,8,FALSE)&amp;""),"",VLOOKUP($A194,通讯录!$A:$M,8,FALSE)&amp;"")</f>
        <v/>
      </c>
      <c r="H194" s="41"/>
      <c r="I194" s="41"/>
      <c r="J194" s="41"/>
      <c r="L194" s="28" t="str">
        <f t="shared" si="2"/>
        <v/>
      </c>
    </row>
    <row r="195" spans="2:12" x14ac:dyDescent="0.15">
      <c r="B195" s="41" t="str">
        <f>IF(ISERROR(VLOOKUP($A195,通讯录!$A:$M,3,FALSE)&amp;""),"",VLOOKUP($A195,通讯录!$A:$M,3,FALSE)&amp;"")</f>
        <v/>
      </c>
      <c r="C195" s="41" t="str">
        <f>IF(ISERROR(VLOOKUP($A195,通讯录!$A:$M,7,FALSE)&amp;""),"",VLOOKUP($A195,通讯录!$A:$M,7,FALSE)&amp;"")</f>
        <v/>
      </c>
      <c r="D195" s="41" t="str">
        <f>IF(ISERROR(VLOOKUP($A195,通讯录!$A:$M,5,FALSE)&amp;""),"",VLOOKUP($A195,通讯录!$A:$M,5,FALSE)&amp;"")</f>
        <v/>
      </c>
      <c r="E195" s="41" t="str">
        <f>IF(ISERROR(VLOOKUP($A195,通讯录!$A:$M,6,FALSE)&amp;""),"",VLOOKUP($A195,通讯录!$A:$M,6,FALSE)&amp;"")</f>
        <v/>
      </c>
      <c r="F195" s="41" t="str">
        <f>IF(ISERROR(VLOOKUP($A195,通讯录!$A:$M,4,FALSE)&amp;""),"",VLOOKUP($A195,通讯录!$A:$M,4,FALSE)&amp;"")</f>
        <v/>
      </c>
      <c r="G195" s="41" t="str">
        <f>IF(ISERROR(VLOOKUP($A195,通讯录!$A:$M,8,FALSE)&amp;""),"",VLOOKUP($A195,通讯录!$A:$M,8,FALSE)&amp;"")</f>
        <v/>
      </c>
      <c r="H195" s="41"/>
      <c r="I195" s="41"/>
      <c r="J195" s="41"/>
      <c r="L195" s="28" t="str">
        <f t="shared" si="2"/>
        <v/>
      </c>
    </row>
    <row r="196" spans="2:12" x14ac:dyDescent="0.15">
      <c r="B196" s="41" t="str">
        <f>IF(ISERROR(VLOOKUP($A196,通讯录!$A:$M,3,FALSE)&amp;""),"",VLOOKUP($A196,通讯录!$A:$M,3,FALSE)&amp;"")</f>
        <v/>
      </c>
      <c r="C196" s="41" t="str">
        <f>IF(ISERROR(VLOOKUP($A196,通讯录!$A:$M,7,FALSE)&amp;""),"",VLOOKUP($A196,通讯录!$A:$M,7,FALSE)&amp;"")</f>
        <v/>
      </c>
      <c r="D196" s="41" t="str">
        <f>IF(ISERROR(VLOOKUP($A196,通讯录!$A:$M,5,FALSE)&amp;""),"",VLOOKUP($A196,通讯录!$A:$M,5,FALSE)&amp;"")</f>
        <v/>
      </c>
      <c r="E196" s="41" t="str">
        <f>IF(ISERROR(VLOOKUP($A196,通讯录!$A:$M,6,FALSE)&amp;""),"",VLOOKUP($A196,通讯录!$A:$M,6,FALSE)&amp;"")</f>
        <v/>
      </c>
      <c r="F196" s="41" t="str">
        <f>IF(ISERROR(VLOOKUP($A196,通讯录!$A:$M,4,FALSE)&amp;""),"",VLOOKUP($A196,通讯录!$A:$M,4,FALSE)&amp;"")</f>
        <v/>
      </c>
      <c r="G196" s="41" t="str">
        <f>IF(ISERROR(VLOOKUP($A196,通讯录!$A:$M,8,FALSE)&amp;""),"",VLOOKUP($A196,通讯录!$A:$M,8,FALSE)&amp;"")</f>
        <v/>
      </c>
      <c r="H196" s="41"/>
      <c r="I196" s="41"/>
      <c r="J196" s="41"/>
      <c r="L196" s="28" t="str">
        <f t="shared" si="2"/>
        <v/>
      </c>
    </row>
    <row r="197" spans="2:12" x14ac:dyDescent="0.15">
      <c r="B197" s="41" t="str">
        <f>IF(ISERROR(VLOOKUP($A197,通讯录!$A:$M,3,FALSE)&amp;""),"",VLOOKUP($A197,通讯录!$A:$M,3,FALSE)&amp;"")</f>
        <v/>
      </c>
      <c r="C197" s="41" t="str">
        <f>IF(ISERROR(VLOOKUP($A197,通讯录!$A:$M,7,FALSE)&amp;""),"",VLOOKUP($A197,通讯录!$A:$M,7,FALSE)&amp;"")</f>
        <v/>
      </c>
      <c r="D197" s="41" t="str">
        <f>IF(ISERROR(VLOOKUP($A197,通讯录!$A:$M,5,FALSE)&amp;""),"",VLOOKUP($A197,通讯录!$A:$M,5,FALSE)&amp;"")</f>
        <v/>
      </c>
      <c r="E197" s="41" t="str">
        <f>IF(ISERROR(VLOOKUP($A197,通讯录!$A:$M,6,FALSE)&amp;""),"",VLOOKUP($A197,通讯录!$A:$M,6,FALSE)&amp;"")</f>
        <v/>
      </c>
      <c r="F197" s="41" t="str">
        <f>IF(ISERROR(VLOOKUP($A197,通讯录!$A:$M,4,FALSE)&amp;""),"",VLOOKUP($A197,通讯录!$A:$M,4,FALSE)&amp;"")</f>
        <v/>
      </c>
      <c r="G197" s="41" t="str">
        <f>IF(ISERROR(VLOOKUP($A197,通讯录!$A:$M,8,FALSE)&amp;""),"",VLOOKUP($A197,通讯录!$A:$M,8,FALSE)&amp;"")</f>
        <v/>
      </c>
      <c r="H197" s="41"/>
      <c r="I197" s="41"/>
      <c r="J197" s="41"/>
      <c r="L197" s="28" t="str">
        <f t="shared" si="2"/>
        <v/>
      </c>
    </row>
    <row r="198" spans="2:12" x14ac:dyDescent="0.15">
      <c r="B198" s="41" t="str">
        <f>IF(ISERROR(VLOOKUP($A198,通讯录!$A:$M,3,FALSE)&amp;""),"",VLOOKUP($A198,通讯录!$A:$M,3,FALSE)&amp;"")</f>
        <v/>
      </c>
      <c r="C198" s="41" t="str">
        <f>IF(ISERROR(VLOOKUP($A198,通讯录!$A:$M,7,FALSE)&amp;""),"",VLOOKUP($A198,通讯录!$A:$M,7,FALSE)&amp;"")</f>
        <v/>
      </c>
      <c r="D198" s="41" t="str">
        <f>IF(ISERROR(VLOOKUP($A198,通讯录!$A:$M,5,FALSE)&amp;""),"",VLOOKUP($A198,通讯录!$A:$M,5,FALSE)&amp;"")</f>
        <v/>
      </c>
      <c r="E198" s="41" t="str">
        <f>IF(ISERROR(VLOOKUP($A198,通讯录!$A:$M,6,FALSE)&amp;""),"",VLOOKUP($A198,通讯录!$A:$M,6,FALSE)&amp;"")</f>
        <v/>
      </c>
      <c r="F198" s="41" t="str">
        <f>IF(ISERROR(VLOOKUP($A198,通讯录!$A:$M,4,FALSE)&amp;""),"",VLOOKUP($A198,通讯录!$A:$M,4,FALSE)&amp;"")</f>
        <v/>
      </c>
      <c r="G198" s="41" t="str">
        <f>IF(ISERROR(VLOOKUP($A198,通讯录!$A:$M,8,FALSE)&amp;""),"",VLOOKUP($A198,通讯录!$A:$M,8,FALSE)&amp;"")</f>
        <v/>
      </c>
      <c r="H198" s="41"/>
      <c r="I198" s="41"/>
      <c r="J198" s="41"/>
      <c r="L198" s="28" t="str">
        <f t="shared" si="2"/>
        <v/>
      </c>
    </row>
    <row r="199" spans="2:12" x14ac:dyDescent="0.15">
      <c r="B199" s="41" t="str">
        <f>IF(ISERROR(VLOOKUP($A199,通讯录!$A:$M,3,FALSE)&amp;""),"",VLOOKUP($A199,通讯录!$A:$M,3,FALSE)&amp;"")</f>
        <v/>
      </c>
      <c r="C199" s="41" t="str">
        <f>IF(ISERROR(VLOOKUP($A199,通讯录!$A:$M,7,FALSE)&amp;""),"",VLOOKUP($A199,通讯录!$A:$M,7,FALSE)&amp;"")</f>
        <v/>
      </c>
      <c r="D199" s="41" t="str">
        <f>IF(ISERROR(VLOOKUP($A199,通讯录!$A:$M,5,FALSE)&amp;""),"",VLOOKUP($A199,通讯录!$A:$M,5,FALSE)&amp;"")</f>
        <v/>
      </c>
      <c r="E199" s="41" t="str">
        <f>IF(ISERROR(VLOOKUP($A199,通讯录!$A:$M,6,FALSE)&amp;""),"",VLOOKUP($A199,通讯录!$A:$M,6,FALSE)&amp;"")</f>
        <v/>
      </c>
      <c r="F199" s="41" t="str">
        <f>IF(ISERROR(VLOOKUP($A199,通讯录!$A:$M,4,FALSE)&amp;""),"",VLOOKUP($A199,通讯录!$A:$M,4,FALSE)&amp;"")</f>
        <v/>
      </c>
      <c r="G199" s="41" t="str">
        <f>IF(ISERROR(VLOOKUP($A199,通讯录!$A:$M,8,FALSE)&amp;""),"",VLOOKUP($A199,通讯录!$A:$M,8,FALSE)&amp;"")</f>
        <v/>
      </c>
      <c r="H199" s="41"/>
      <c r="I199" s="41"/>
      <c r="J199" s="41"/>
      <c r="L199" s="28" t="str">
        <f t="shared" si="2"/>
        <v/>
      </c>
    </row>
    <row r="200" spans="2:12" x14ac:dyDescent="0.15">
      <c r="B200" s="41" t="str">
        <f>IF(ISERROR(VLOOKUP($A200,通讯录!$A:$M,3,FALSE)&amp;""),"",VLOOKUP($A200,通讯录!$A:$M,3,FALSE)&amp;"")</f>
        <v/>
      </c>
      <c r="C200" s="41" t="str">
        <f>IF(ISERROR(VLOOKUP($A200,通讯录!$A:$M,7,FALSE)&amp;""),"",VLOOKUP($A200,通讯录!$A:$M,7,FALSE)&amp;"")</f>
        <v/>
      </c>
      <c r="D200" s="41" t="str">
        <f>IF(ISERROR(VLOOKUP($A200,通讯录!$A:$M,5,FALSE)&amp;""),"",VLOOKUP($A200,通讯录!$A:$M,5,FALSE)&amp;"")</f>
        <v/>
      </c>
      <c r="E200" s="41" t="str">
        <f>IF(ISERROR(VLOOKUP($A200,通讯录!$A:$M,6,FALSE)&amp;""),"",VLOOKUP($A200,通讯录!$A:$M,6,FALSE)&amp;"")</f>
        <v/>
      </c>
      <c r="F200" s="41" t="str">
        <f>IF(ISERROR(VLOOKUP($A200,通讯录!$A:$M,4,FALSE)&amp;""),"",VLOOKUP($A200,通讯录!$A:$M,4,FALSE)&amp;"")</f>
        <v/>
      </c>
      <c r="G200" s="41" t="str">
        <f>IF(ISERROR(VLOOKUP($A200,通讯录!$A:$M,8,FALSE)&amp;""),"",VLOOKUP($A200,通讯录!$A:$M,8,FALSE)&amp;"")</f>
        <v/>
      </c>
      <c r="H200" s="41"/>
      <c r="I200" s="41"/>
      <c r="J200" s="41"/>
      <c r="L200" s="28" t="str">
        <f t="shared" si="2"/>
        <v/>
      </c>
    </row>
    <row r="201" spans="2:12" x14ac:dyDescent="0.15">
      <c r="B201" s="41" t="str">
        <f>IF(ISERROR(VLOOKUP($A201,通讯录!$A:$M,3,FALSE)&amp;""),"",VLOOKUP($A201,通讯录!$A:$M,3,FALSE)&amp;"")</f>
        <v/>
      </c>
      <c r="C201" s="41" t="str">
        <f>IF(ISERROR(VLOOKUP($A201,通讯录!$A:$M,7,FALSE)&amp;""),"",VLOOKUP($A201,通讯录!$A:$M,7,FALSE)&amp;"")</f>
        <v/>
      </c>
      <c r="D201" s="41" t="str">
        <f>IF(ISERROR(VLOOKUP($A201,通讯录!$A:$M,5,FALSE)&amp;""),"",VLOOKUP($A201,通讯录!$A:$M,5,FALSE)&amp;"")</f>
        <v/>
      </c>
      <c r="E201" s="41" t="str">
        <f>IF(ISERROR(VLOOKUP($A201,通讯录!$A:$M,6,FALSE)&amp;""),"",VLOOKUP($A201,通讯录!$A:$M,6,FALSE)&amp;"")</f>
        <v/>
      </c>
      <c r="F201" s="41" t="str">
        <f>IF(ISERROR(VLOOKUP($A201,通讯录!$A:$M,4,FALSE)&amp;""),"",VLOOKUP($A201,通讯录!$A:$M,4,FALSE)&amp;"")</f>
        <v/>
      </c>
      <c r="G201" s="41" t="str">
        <f>IF(ISERROR(VLOOKUP($A201,通讯录!$A:$M,8,FALSE)&amp;""),"",VLOOKUP($A201,通讯录!$A:$M,8,FALSE)&amp;"")</f>
        <v/>
      </c>
      <c r="H201" s="41"/>
      <c r="I201" s="41"/>
      <c r="J201" s="41"/>
      <c r="L201" s="28" t="str">
        <f t="shared" si="2"/>
        <v/>
      </c>
    </row>
    <row r="202" spans="2:12" x14ac:dyDescent="0.15">
      <c r="B202" s="41" t="str">
        <f>IF(ISERROR(VLOOKUP($A202,通讯录!$A:$M,3,FALSE)&amp;""),"",VLOOKUP($A202,通讯录!$A:$M,3,FALSE)&amp;"")</f>
        <v/>
      </c>
      <c r="C202" s="41" t="str">
        <f>IF(ISERROR(VLOOKUP($A202,通讯录!$A:$M,7,FALSE)&amp;""),"",VLOOKUP($A202,通讯录!$A:$M,7,FALSE)&amp;"")</f>
        <v/>
      </c>
      <c r="D202" s="41" t="str">
        <f>IF(ISERROR(VLOOKUP($A202,通讯录!$A:$M,5,FALSE)&amp;""),"",VLOOKUP($A202,通讯录!$A:$M,5,FALSE)&amp;"")</f>
        <v/>
      </c>
      <c r="E202" s="41" t="str">
        <f>IF(ISERROR(VLOOKUP($A202,通讯录!$A:$M,6,FALSE)&amp;""),"",VLOOKUP($A202,通讯录!$A:$M,6,FALSE)&amp;"")</f>
        <v/>
      </c>
      <c r="F202" s="41" t="str">
        <f>IF(ISERROR(VLOOKUP($A202,通讯录!$A:$M,4,FALSE)&amp;""),"",VLOOKUP($A202,通讯录!$A:$M,4,FALSE)&amp;"")</f>
        <v/>
      </c>
      <c r="G202" s="41" t="str">
        <f>IF(ISERROR(VLOOKUP($A202,通讯录!$A:$M,8,FALSE)&amp;""),"",VLOOKUP($A202,通讯录!$A:$M,8,FALSE)&amp;"")</f>
        <v/>
      </c>
      <c r="H202" s="41"/>
      <c r="I202" s="41"/>
      <c r="J202" s="41"/>
      <c r="L202" s="28" t="str">
        <f t="shared" si="2"/>
        <v/>
      </c>
    </row>
    <row r="203" spans="2:12" x14ac:dyDescent="0.15">
      <c r="B203" s="41" t="str">
        <f>IF(ISERROR(VLOOKUP($A203,通讯录!$A:$M,3,FALSE)&amp;""),"",VLOOKUP($A203,通讯录!$A:$M,3,FALSE)&amp;"")</f>
        <v/>
      </c>
      <c r="C203" s="41" t="str">
        <f>IF(ISERROR(VLOOKUP($A203,通讯录!$A:$M,7,FALSE)&amp;""),"",VLOOKUP($A203,通讯录!$A:$M,7,FALSE)&amp;"")</f>
        <v/>
      </c>
      <c r="D203" s="41" t="str">
        <f>IF(ISERROR(VLOOKUP($A203,通讯录!$A:$M,5,FALSE)&amp;""),"",VLOOKUP($A203,通讯录!$A:$M,5,FALSE)&amp;"")</f>
        <v/>
      </c>
      <c r="E203" s="41" t="str">
        <f>IF(ISERROR(VLOOKUP($A203,通讯录!$A:$M,6,FALSE)&amp;""),"",VLOOKUP($A203,通讯录!$A:$M,6,FALSE)&amp;"")</f>
        <v/>
      </c>
      <c r="F203" s="41" t="str">
        <f>IF(ISERROR(VLOOKUP($A203,通讯录!$A:$M,4,FALSE)&amp;""),"",VLOOKUP($A203,通讯录!$A:$M,4,FALSE)&amp;"")</f>
        <v/>
      </c>
      <c r="G203" s="41" t="str">
        <f>IF(ISERROR(VLOOKUP($A203,通讯录!$A:$M,8,FALSE)&amp;""),"",VLOOKUP($A203,通讯录!$A:$M,8,FALSE)&amp;"")</f>
        <v/>
      </c>
      <c r="H203" s="41"/>
      <c r="I203" s="41"/>
      <c r="J203" s="41"/>
      <c r="L203" s="28" t="str">
        <f t="shared" si="2"/>
        <v/>
      </c>
    </row>
    <row r="204" spans="2:12" x14ac:dyDescent="0.15">
      <c r="B204" s="41" t="str">
        <f>IF(ISERROR(VLOOKUP($A204,通讯录!$A:$M,3,FALSE)&amp;""),"",VLOOKUP($A204,通讯录!$A:$M,3,FALSE)&amp;"")</f>
        <v/>
      </c>
      <c r="C204" s="41" t="str">
        <f>IF(ISERROR(VLOOKUP($A204,通讯录!$A:$M,7,FALSE)&amp;""),"",VLOOKUP($A204,通讯录!$A:$M,7,FALSE)&amp;"")</f>
        <v/>
      </c>
      <c r="D204" s="41" t="str">
        <f>IF(ISERROR(VLOOKUP($A204,通讯录!$A:$M,5,FALSE)&amp;""),"",VLOOKUP($A204,通讯录!$A:$M,5,FALSE)&amp;"")</f>
        <v/>
      </c>
      <c r="E204" s="41" t="str">
        <f>IF(ISERROR(VLOOKUP($A204,通讯录!$A:$M,6,FALSE)&amp;""),"",VLOOKUP($A204,通讯录!$A:$M,6,FALSE)&amp;"")</f>
        <v/>
      </c>
      <c r="F204" s="41" t="str">
        <f>IF(ISERROR(VLOOKUP($A204,通讯录!$A:$M,4,FALSE)&amp;""),"",VLOOKUP($A204,通讯录!$A:$M,4,FALSE)&amp;"")</f>
        <v/>
      </c>
      <c r="G204" s="41" t="str">
        <f>IF(ISERROR(VLOOKUP($A204,通讯录!$A:$M,8,FALSE)&amp;""),"",VLOOKUP($A204,通讯录!$A:$M,8,FALSE)&amp;"")</f>
        <v/>
      </c>
      <c r="H204" s="41"/>
      <c r="I204" s="41"/>
      <c r="J204" s="41"/>
      <c r="L204" s="28" t="str">
        <f t="shared" si="2"/>
        <v/>
      </c>
    </row>
    <row r="205" spans="2:12" x14ac:dyDescent="0.15">
      <c r="B205" s="41" t="str">
        <f>IF(ISERROR(VLOOKUP($A205,通讯录!$A:$M,3,FALSE)&amp;""),"",VLOOKUP($A205,通讯录!$A:$M,3,FALSE)&amp;"")</f>
        <v/>
      </c>
      <c r="C205" s="41" t="str">
        <f>IF(ISERROR(VLOOKUP($A205,通讯录!$A:$M,7,FALSE)&amp;""),"",VLOOKUP($A205,通讯录!$A:$M,7,FALSE)&amp;"")</f>
        <v/>
      </c>
      <c r="D205" s="41" t="str">
        <f>IF(ISERROR(VLOOKUP($A205,通讯录!$A:$M,5,FALSE)&amp;""),"",VLOOKUP($A205,通讯录!$A:$M,5,FALSE)&amp;"")</f>
        <v/>
      </c>
      <c r="E205" s="41" t="str">
        <f>IF(ISERROR(VLOOKUP($A205,通讯录!$A:$M,6,FALSE)&amp;""),"",VLOOKUP($A205,通讯录!$A:$M,6,FALSE)&amp;"")</f>
        <v/>
      </c>
      <c r="F205" s="41" t="str">
        <f>IF(ISERROR(VLOOKUP($A205,通讯录!$A:$M,4,FALSE)&amp;""),"",VLOOKUP($A205,通讯录!$A:$M,4,FALSE)&amp;"")</f>
        <v/>
      </c>
      <c r="G205" s="41" t="str">
        <f>IF(ISERROR(VLOOKUP($A205,通讯录!$A:$M,8,FALSE)&amp;""),"",VLOOKUP($A205,通讯录!$A:$M,8,FALSE)&amp;"")</f>
        <v/>
      </c>
      <c r="H205" s="41"/>
      <c r="I205" s="41"/>
      <c r="J205" s="41"/>
      <c r="L205" s="28" t="str">
        <f t="shared" si="2"/>
        <v/>
      </c>
    </row>
    <row r="206" spans="2:12" x14ac:dyDescent="0.15">
      <c r="B206" s="41" t="str">
        <f>IF(ISERROR(VLOOKUP($A206,通讯录!$A:$M,3,FALSE)&amp;""),"",VLOOKUP($A206,通讯录!$A:$M,3,FALSE)&amp;"")</f>
        <v/>
      </c>
      <c r="C206" s="41" t="str">
        <f>IF(ISERROR(VLOOKUP($A206,通讯录!$A:$M,7,FALSE)&amp;""),"",VLOOKUP($A206,通讯录!$A:$M,7,FALSE)&amp;"")</f>
        <v/>
      </c>
      <c r="D206" s="41" t="str">
        <f>IF(ISERROR(VLOOKUP($A206,通讯录!$A:$M,5,FALSE)&amp;""),"",VLOOKUP($A206,通讯录!$A:$M,5,FALSE)&amp;"")</f>
        <v/>
      </c>
      <c r="E206" s="41" t="str">
        <f>IF(ISERROR(VLOOKUP($A206,通讯录!$A:$M,6,FALSE)&amp;""),"",VLOOKUP($A206,通讯录!$A:$M,6,FALSE)&amp;"")</f>
        <v/>
      </c>
      <c r="F206" s="41" t="str">
        <f>IF(ISERROR(VLOOKUP($A206,通讯录!$A:$M,4,FALSE)&amp;""),"",VLOOKUP($A206,通讯录!$A:$M,4,FALSE)&amp;"")</f>
        <v/>
      </c>
      <c r="G206" s="41" t="str">
        <f>IF(ISERROR(VLOOKUP($A206,通讯录!$A:$M,8,FALSE)&amp;""),"",VLOOKUP($A206,通讯录!$A:$M,8,FALSE)&amp;"")</f>
        <v/>
      </c>
      <c r="H206" s="41"/>
      <c r="I206" s="41"/>
      <c r="J206" s="41"/>
      <c r="L206" s="28" t="str">
        <f t="shared" si="2"/>
        <v/>
      </c>
    </row>
    <row r="207" spans="2:12" x14ac:dyDescent="0.15">
      <c r="B207" s="41" t="str">
        <f>IF(ISERROR(VLOOKUP($A207,通讯录!$A:$M,3,FALSE)&amp;""),"",VLOOKUP($A207,通讯录!$A:$M,3,FALSE)&amp;"")</f>
        <v/>
      </c>
      <c r="C207" s="41" t="str">
        <f>IF(ISERROR(VLOOKUP($A207,通讯录!$A:$M,7,FALSE)&amp;""),"",VLOOKUP($A207,通讯录!$A:$M,7,FALSE)&amp;"")</f>
        <v/>
      </c>
      <c r="D207" s="41" t="str">
        <f>IF(ISERROR(VLOOKUP($A207,通讯录!$A:$M,5,FALSE)&amp;""),"",VLOOKUP($A207,通讯录!$A:$M,5,FALSE)&amp;"")</f>
        <v/>
      </c>
      <c r="E207" s="41" t="str">
        <f>IF(ISERROR(VLOOKUP($A207,通讯录!$A:$M,6,FALSE)&amp;""),"",VLOOKUP($A207,通讯录!$A:$M,6,FALSE)&amp;"")</f>
        <v/>
      </c>
      <c r="F207" s="41" t="str">
        <f>IF(ISERROR(VLOOKUP($A207,通讯录!$A:$M,4,FALSE)&amp;""),"",VLOOKUP($A207,通讯录!$A:$M,4,FALSE)&amp;"")</f>
        <v/>
      </c>
      <c r="G207" s="41" t="str">
        <f>IF(ISERROR(VLOOKUP($A207,通讯录!$A:$M,8,FALSE)&amp;""),"",VLOOKUP($A207,通讯录!$A:$M,8,FALSE)&amp;"")</f>
        <v/>
      </c>
      <c r="H207" s="41"/>
      <c r="I207" s="41"/>
      <c r="J207" s="41"/>
      <c r="L207" s="28" t="str">
        <f t="shared" si="2"/>
        <v/>
      </c>
    </row>
    <row r="208" spans="2:12" x14ac:dyDescent="0.15">
      <c r="B208" s="41" t="str">
        <f>IF(ISERROR(VLOOKUP($A208,通讯录!$A:$M,3,FALSE)&amp;""),"",VLOOKUP($A208,通讯录!$A:$M,3,FALSE)&amp;"")</f>
        <v/>
      </c>
      <c r="C208" s="41" t="str">
        <f>IF(ISERROR(VLOOKUP($A208,通讯录!$A:$M,7,FALSE)&amp;""),"",VLOOKUP($A208,通讯录!$A:$M,7,FALSE)&amp;"")</f>
        <v/>
      </c>
      <c r="D208" s="41" t="str">
        <f>IF(ISERROR(VLOOKUP($A208,通讯录!$A:$M,5,FALSE)&amp;""),"",VLOOKUP($A208,通讯录!$A:$M,5,FALSE)&amp;"")</f>
        <v/>
      </c>
      <c r="E208" s="41" t="str">
        <f>IF(ISERROR(VLOOKUP($A208,通讯录!$A:$M,6,FALSE)&amp;""),"",VLOOKUP($A208,通讯录!$A:$M,6,FALSE)&amp;"")</f>
        <v/>
      </c>
      <c r="F208" s="41" t="str">
        <f>IF(ISERROR(VLOOKUP($A208,通讯录!$A:$M,4,FALSE)&amp;""),"",VLOOKUP($A208,通讯录!$A:$M,4,FALSE)&amp;"")</f>
        <v/>
      </c>
      <c r="G208" s="41" t="str">
        <f>IF(ISERROR(VLOOKUP($A208,通讯录!$A:$M,8,FALSE)&amp;""),"",VLOOKUP($A208,通讯录!$A:$M,8,FALSE)&amp;"")</f>
        <v/>
      </c>
      <c r="H208" s="41"/>
      <c r="I208" s="41"/>
      <c r="J208" s="41"/>
      <c r="L208" s="28" t="str">
        <f t="shared" si="2"/>
        <v/>
      </c>
    </row>
    <row r="209" spans="2:12" x14ac:dyDescent="0.15">
      <c r="B209" s="41" t="str">
        <f>IF(ISERROR(VLOOKUP($A209,通讯录!$A:$M,3,FALSE)&amp;""),"",VLOOKUP($A209,通讯录!$A:$M,3,FALSE)&amp;"")</f>
        <v/>
      </c>
      <c r="C209" s="41" t="str">
        <f>IF(ISERROR(VLOOKUP($A209,通讯录!$A:$M,7,FALSE)&amp;""),"",VLOOKUP($A209,通讯录!$A:$M,7,FALSE)&amp;"")</f>
        <v/>
      </c>
      <c r="D209" s="41" t="str">
        <f>IF(ISERROR(VLOOKUP($A209,通讯录!$A:$M,5,FALSE)&amp;""),"",VLOOKUP($A209,通讯录!$A:$M,5,FALSE)&amp;"")</f>
        <v/>
      </c>
      <c r="E209" s="41" t="str">
        <f>IF(ISERROR(VLOOKUP($A209,通讯录!$A:$M,6,FALSE)&amp;""),"",VLOOKUP($A209,通讯录!$A:$M,6,FALSE)&amp;"")</f>
        <v/>
      </c>
      <c r="F209" s="41" t="str">
        <f>IF(ISERROR(VLOOKUP($A209,通讯录!$A:$M,4,FALSE)&amp;""),"",VLOOKUP($A209,通讯录!$A:$M,4,FALSE)&amp;"")</f>
        <v/>
      </c>
      <c r="G209" s="41" t="str">
        <f>IF(ISERROR(VLOOKUP($A209,通讯录!$A:$M,8,FALSE)&amp;""),"",VLOOKUP($A209,通讯录!$A:$M,8,FALSE)&amp;"")</f>
        <v/>
      </c>
      <c r="H209" s="41"/>
      <c r="I209" s="41"/>
      <c r="J209" s="41"/>
      <c r="L209" s="28" t="str">
        <f t="shared" si="2"/>
        <v/>
      </c>
    </row>
    <row r="210" spans="2:12" x14ac:dyDescent="0.15">
      <c r="B210" s="41" t="str">
        <f>IF(ISERROR(VLOOKUP($A210,通讯录!$A:$M,3,FALSE)&amp;""),"",VLOOKUP($A210,通讯录!$A:$M,3,FALSE)&amp;"")</f>
        <v/>
      </c>
      <c r="C210" s="41" t="str">
        <f>IF(ISERROR(VLOOKUP($A210,通讯录!$A:$M,7,FALSE)&amp;""),"",VLOOKUP($A210,通讯录!$A:$M,7,FALSE)&amp;"")</f>
        <v/>
      </c>
      <c r="D210" s="41" t="str">
        <f>IF(ISERROR(VLOOKUP($A210,通讯录!$A:$M,5,FALSE)&amp;""),"",VLOOKUP($A210,通讯录!$A:$M,5,FALSE)&amp;"")</f>
        <v/>
      </c>
      <c r="E210" s="41" t="str">
        <f>IF(ISERROR(VLOOKUP($A210,通讯录!$A:$M,6,FALSE)&amp;""),"",VLOOKUP($A210,通讯录!$A:$M,6,FALSE)&amp;"")</f>
        <v/>
      </c>
      <c r="F210" s="41" t="str">
        <f>IF(ISERROR(VLOOKUP($A210,通讯录!$A:$M,4,FALSE)&amp;""),"",VLOOKUP($A210,通讯录!$A:$M,4,FALSE)&amp;"")</f>
        <v/>
      </c>
      <c r="G210" s="41" t="str">
        <f>IF(ISERROR(VLOOKUP($A210,通讯录!$A:$M,8,FALSE)&amp;""),"",VLOOKUP($A210,通讯录!$A:$M,8,FALSE)&amp;"")</f>
        <v/>
      </c>
      <c r="H210" s="41"/>
      <c r="I210" s="41"/>
      <c r="J210" s="41"/>
      <c r="L210" s="28" t="str">
        <f t="shared" si="2"/>
        <v/>
      </c>
    </row>
    <row r="211" spans="2:12" x14ac:dyDescent="0.15">
      <c r="B211" s="41" t="str">
        <f>IF(ISERROR(VLOOKUP($A211,通讯录!$A:$M,3,FALSE)&amp;""),"",VLOOKUP($A211,通讯录!$A:$M,3,FALSE)&amp;"")</f>
        <v/>
      </c>
      <c r="C211" s="41" t="str">
        <f>IF(ISERROR(VLOOKUP($A211,通讯录!$A:$M,7,FALSE)&amp;""),"",VLOOKUP($A211,通讯录!$A:$M,7,FALSE)&amp;"")</f>
        <v/>
      </c>
      <c r="D211" s="41" t="str">
        <f>IF(ISERROR(VLOOKUP($A211,通讯录!$A:$M,5,FALSE)&amp;""),"",VLOOKUP($A211,通讯录!$A:$M,5,FALSE)&amp;"")</f>
        <v/>
      </c>
      <c r="E211" s="41" t="str">
        <f>IF(ISERROR(VLOOKUP($A211,通讯录!$A:$M,6,FALSE)&amp;""),"",VLOOKUP($A211,通讯录!$A:$M,6,FALSE)&amp;"")</f>
        <v/>
      </c>
      <c r="F211" s="41" t="str">
        <f>IF(ISERROR(VLOOKUP($A211,通讯录!$A:$M,4,FALSE)&amp;""),"",VLOOKUP($A211,通讯录!$A:$M,4,FALSE)&amp;"")</f>
        <v/>
      </c>
      <c r="G211" s="41" t="str">
        <f>IF(ISERROR(VLOOKUP($A211,通讯录!$A:$M,8,FALSE)&amp;""),"",VLOOKUP($A211,通讯录!$A:$M,8,FALSE)&amp;"")</f>
        <v/>
      </c>
      <c r="H211" s="41"/>
      <c r="I211" s="41"/>
      <c r="J211" s="41"/>
      <c r="L211" s="28" t="str">
        <f t="shared" si="2"/>
        <v/>
      </c>
    </row>
    <row r="212" spans="2:12" x14ac:dyDescent="0.15">
      <c r="B212" s="41" t="str">
        <f>IF(ISERROR(VLOOKUP($A212,通讯录!$A:$M,3,FALSE)&amp;""),"",VLOOKUP($A212,通讯录!$A:$M,3,FALSE)&amp;"")</f>
        <v/>
      </c>
      <c r="C212" s="41" t="str">
        <f>IF(ISERROR(VLOOKUP($A212,通讯录!$A:$M,7,FALSE)&amp;""),"",VLOOKUP($A212,通讯录!$A:$M,7,FALSE)&amp;"")</f>
        <v/>
      </c>
      <c r="D212" s="41" t="str">
        <f>IF(ISERROR(VLOOKUP($A212,通讯录!$A:$M,5,FALSE)&amp;""),"",VLOOKUP($A212,通讯录!$A:$M,5,FALSE)&amp;"")</f>
        <v/>
      </c>
      <c r="E212" s="41" t="str">
        <f>IF(ISERROR(VLOOKUP($A212,通讯录!$A:$M,6,FALSE)&amp;""),"",VLOOKUP($A212,通讯录!$A:$M,6,FALSE)&amp;"")</f>
        <v/>
      </c>
      <c r="F212" s="41" t="str">
        <f>IF(ISERROR(VLOOKUP($A212,通讯录!$A:$M,4,FALSE)&amp;""),"",VLOOKUP($A212,通讯录!$A:$M,4,FALSE)&amp;"")</f>
        <v/>
      </c>
      <c r="G212" s="41" t="str">
        <f>IF(ISERROR(VLOOKUP($A212,通讯录!$A:$M,8,FALSE)&amp;""),"",VLOOKUP($A212,通讯录!$A:$M,8,FALSE)&amp;"")</f>
        <v/>
      </c>
      <c r="H212" s="41"/>
      <c r="I212" s="41"/>
      <c r="J212" s="41"/>
      <c r="L212" s="28" t="str">
        <f t="shared" si="2"/>
        <v/>
      </c>
    </row>
    <row r="213" spans="2:12" x14ac:dyDescent="0.15">
      <c r="B213" s="41" t="str">
        <f>IF(ISERROR(VLOOKUP($A213,通讯录!$A:$M,3,FALSE)&amp;""),"",VLOOKUP($A213,通讯录!$A:$M,3,FALSE)&amp;"")</f>
        <v/>
      </c>
      <c r="C213" s="41" t="str">
        <f>IF(ISERROR(VLOOKUP($A213,通讯录!$A:$M,7,FALSE)&amp;""),"",VLOOKUP($A213,通讯录!$A:$M,7,FALSE)&amp;"")</f>
        <v/>
      </c>
      <c r="D213" s="41" t="str">
        <f>IF(ISERROR(VLOOKUP($A213,通讯录!$A:$M,5,FALSE)&amp;""),"",VLOOKUP($A213,通讯录!$A:$M,5,FALSE)&amp;"")</f>
        <v/>
      </c>
      <c r="E213" s="41" t="str">
        <f>IF(ISERROR(VLOOKUP($A213,通讯录!$A:$M,6,FALSE)&amp;""),"",VLOOKUP($A213,通讯录!$A:$M,6,FALSE)&amp;"")</f>
        <v/>
      </c>
      <c r="F213" s="41" t="str">
        <f>IF(ISERROR(VLOOKUP($A213,通讯录!$A:$M,4,FALSE)&amp;""),"",VLOOKUP($A213,通讯录!$A:$M,4,FALSE)&amp;"")</f>
        <v/>
      </c>
      <c r="G213" s="41" t="str">
        <f>IF(ISERROR(VLOOKUP($A213,通讯录!$A:$M,8,FALSE)&amp;""),"",VLOOKUP($A213,通讯录!$A:$M,8,FALSE)&amp;"")</f>
        <v/>
      </c>
      <c r="H213" s="41"/>
      <c r="I213" s="41"/>
      <c r="J213" s="41"/>
      <c r="L213" s="28" t="str">
        <f t="shared" si="2"/>
        <v/>
      </c>
    </row>
    <row r="214" spans="2:12" x14ac:dyDescent="0.15">
      <c r="B214" s="41" t="str">
        <f>IF(ISERROR(VLOOKUP($A214,通讯录!$A:$M,3,FALSE)&amp;""),"",VLOOKUP($A214,通讯录!$A:$M,3,FALSE)&amp;"")</f>
        <v/>
      </c>
      <c r="C214" s="41" t="str">
        <f>IF(ISERROR(VLOOKUP($A214,通讯录!$A:$M,7,FALSE)&amp;""),"",VLOOKUP($A214,通讯录!$A:$M,7,FALSE)&amp;"")</f>
        <v/>
      </c>
      <c r="D214" s="41" t="str">
        <f>IF(ISERROR(VLOOKUP($A214,通讯录!$A:$M,5,FALSE)&amp;""),"",VLOOKUP($A214,通讯录!$A:$M,5,FALSE)&amp;"")</f>
        <v/>
      </c>
      <c r="E214" s="41" t="str">
        <f>IF(ISERROR(VLOOKUP($A214,通讯录!$A:$M,6,FALSE)&amp;""),"",VLOOKUP($A214,通讯录!$A:$M,6,FALSE)&amp;"")</f>
        <v/>
      </c>
      <c r="F214" s="41" t="str">
        <f>IF(ISERROR(VLOOKUP($A214,通讯录!$A:$M,4,FALSE)&amp;""),"",VLOOKUP($A214,通讯录!$A:$M,4,FALSE)&amp;"")</f>
        <v/>
      </c>
      <c r="G214" s="41" t="str">
        <f>IF(ISERROR(VLOOKUP($A214,通讯录!$A:$M,8,FALSE)&amp;""),"",VLOOKUP($A214,通讯录!$A:$M,8,FALSE)&amp;"")</f>
        <v/>
      </c>
      <c r="H214" s="41"/>
      <c r="I214" s="41"/>
      <c r="J214" s="41"/>
      <c r="L214" s="28" t="str">
        <f t="shared" si="2"/>
        <v/>
      </c>
    </row>
    <row r="215" spans="2:12" x14ac:dyDescent="0.15">
      <c r="B215" s="41" t="str">
        <f>IF(ISERROR(VLOOKUP($A215,通讯录!$A:$M,3,FALSE)&amp;""),"",VLOOKUP($A215,通讯录!$A:$M,3,FALSE)&amp;"")</f>
        <v/>
      </c>
      <c r="C215" s="41" t="str">
        <f>IF(ISERROR(VLOOKUP($A215,通讯录!$A:$M,7,FALSE)&amp;""),"",VLOOKUP($A215,通讯录!$A:$M,7,FALSE)&amp;"")</f>
        <v/>
      </c>
      <c r="D215" s="41" t="str">
        <f>IF(ISERROR(VLOOKUP($A215,通讯录!$A:$M,5,FALSE)&amp;""),"",VLOOKUP($A215,通讯录!$A:$M,5,FALSE)&amp;"")</f>
        <v/>
      </c>
      <c r="E215" s="41" t="str">
        <f>IF(ISERROR(VLOOKUP($A215,通讯录!$A:$M,6,FALSE)&amp;""),"",VLOOKUP($A215,通讯录!$A:$M,6,FALSE)&amp;"")</f>
        <v/>
      </c>
      <c r="F215" s="41" t="str">
        <f>IF(ISERROR(VLOOKUP($A215,通讯录!$A:$M,4,FALSE)&amp;""),"",VLOOKUP($A215,通讯录!$A:$M,4,FALSE)&amp;"")</f>
        <v/>
      </c>
      <c r="G215" s="41" t="str">
        <f>IF(ISERROR(VLOOKUP($A215,通讯录!$A:$M,8,FALSE)&amp;""),"",VLOOKUP($A215,通讯录!$A:$M,8,FALSE)&amp;"")</f>
        <v/>
      </c>
      <c r="H215" s="41"/>
      <c r="I215" s="41"/>
      <c r="J215" s="41"/>
      <c r="L215" s="28" t="str">
        <f t="shared" si="2"/>
        <v/>
      </c>
    </row>
    <row r="216" spans="2:12" x14ac:dyDescent="0.15">
      <c r="B216" s="41" t="str">
        <f>IF(ISERROR(VLOOKUP($A216,通讯录!$A:$M,3,FALSE)&amp;""),"",VLOOKUP($A216,通讯录!$A:$M,3,FALSE)&amp;"")</f>
        <v/>
      </c>
      <c r="C216" s="41" t="str">
        <f>IF(ISERROR(VLOOKUP($A216,通讯录!$A:$M,7,FALSE)&amp;""),"",VLOOKUP($A216,通讯录!$A:$M,7,FALSE)&amp;"")</f>
        <v/>
      </c>
      <c r="D216" s="41" t="str">
        <f>IF(ISERROR(VLOOKUP($A216,通讯录!$A:$M,5,FALSE)&amp;""),"",VLOOKUP($A216,通讯录!$A:$M,5,FALSE)&amp;"")</f>
        <v/>
      </c>
      <c r="E216" s="41" t="str">
        <f>IF(ISERROR(VLOOKUP($A216,通讯录!$A:$M,6,FALSE)&amp;""),"",VLOOKUP($A216,通讯录!$A:$M,6,FALSE)&amp;"")</f>
        <v/>
      </c>
      <c r="F216" s="41" t="str">
        <f>IF(ISERROR(VLOOKUP($A216,通讯录!$A:$M,4,FALSE)&amp;""),"",VLOOKUP($A216,通讯录!$A:$M,4,FALSE)&amp;"")</f>
        <v/>
      </c>
      <c r="G216" s="41" t="str">
        <f>IF(ISERROR(VLOOKUP($A216,通讯录!$A:$M,8,FALSE)&amp;""),"",VLOOKUP($A216,通讯录!$A:$M,8,FALSE)&amp;"")</f>
        <v/>
      </c>
      <c r="H216" s="41"/>
      <c r="I216" s="41"/>
      <c r="J216" s="41"/>
      <c r="L216" s="28" t="str">
        <f t="shared" si="2"/>
        <v/>
      </c>
    </row>
    <row r="217" spans="2:12" x14ac:dyDescent="0.15">
      <c r="B217" s="41" t="str">
        <f>IF(ISERROR(VLOOKUP($A217,通讯录!$A:$M,3,FALSE)&amp;""),"",VLOOKUP($A217,通讯录!$A:$M,3,FALSE)&amp;"")</f>
        <v/>
      </c>
      <c r="C217" s="41" t="str">
        <f>IF(ISERROR(VLOOKUP($A217,通讯录!$A:$M,7,FALSE)&amp;""),"",VLOOKUP($A217,通讯录!$A:$M,7,FALSE)&amp;"")</f>
        <v/>
      </c>
      <c r="D217" s="41" t="str">
        <f>IF(ISERROR(VLOOKUP($A217,通讯录!$A:$M,5,FALSE)&amp;""),"",VLOOKUP($A217,通讯录!$A:$M,5,FALSE)&amp;"")</f>
        <v/>
      </c>
      <c r="E217" s="41" t="str">
        <f>IF(ISERROR(VLOOKUP($A217,通讯录!$A:$M,6,FALSE)&amp;""),"",VLOOKUP($A217,通讯录!$A:$M,6,FALSE)&amp;"")</f>
        <v/>
      </c>
      <c r="F217" s="41" t="str">
        <f>IF(ISERROR(VLOOKUP($A217,通讯录!$A:$M,4,FALSE)&amp;""),"",VLOOKUP($A217,通讯录!$A:$M,4,FALSE)&amp;"")</f>
        <v/>
      </c>
      <c r="G217" s="41" t="str">
        <f>IF(ISERROR(VLOOKUP($A217,通讯录!$A:$M,8,FALSE)&amp;""),"",VLOOKUP($A217,通讯录!$A:$M,8,FALSE)&amp;"")</f>
        <v/>
      </c>
      <c r="H217" s="41"/>
      <c r="I217" s="41"/>
      <c r="J217" s="41"/>
      <c r="L217" s="28" t="str">
        <f t="shared" si="2"/>
        <v/>
      </c>
    </row>
    <row r="218" spans="2:12" x14ac:dyDescent="0.15">
      <c r="B218" s="41" t="str">
        <f>IF(ISERROR(VLOOKUP($A218,通讯录!$A:$M,3,FALSE)&amp;""),"",VLOOKUP($A218,通讯录!$A:$M,3,FALSE)&amp;"")</f>
        <v/>
      </c>
      <c r="C218" s="41" t="str">
        <f>IF(ISERROR(VLOOKUP($A218,通讯录!$A:$M,7,FALSE)&amp;""),"",VLOOKUP($A218,通讯录!$A:$M,7,FALSE)&amp;"")</f>
        <v/>
      </c>
      <c r="D218" s="41" t="str">
        <f>IF(ISERROR(VLOOKUP($A218,通讯录!$A:$M,5,FALSE)&amp;""),"",VLOOKUP($A218,通讯录!$A:$M,5,FALSE)&amp;"")</f>
        <v/>
      </c>
      <c r="E218" s="41" t="str">
        <f>IF(ISERROR(VLOOKUP($A218,通讯录!$A:$M,6,FALSE)&amp;""),"",VLOOKUP($A218,通讯录!$A:$M,6,FALSE)&amp;"")</f>
        <v/>
      </c>
      <c r="F218" s="41" t="str">
        <f>IF(ISERROR(VLOOKUP($A218,通讯录!$A:$M,4,FALSE)&amp;""),"",VLOOKUP($A218,通讯录!$A:$M,4,FALSE)&amp;"")</f>
        <v/>
      </c>
      <c r="G218" s="41" t="str">
        <f>IF(ISERROR(VLOOKUP($A218,通讯录!$A:$M,8,FALSE)&amp;""),"",VLOOKUP($A218,通讯录!$A:$M,8,FALSE)&amp;"")</f>
        <v/>
      </c>
      <c r="H218" s="41"/>
      <c r="I218" s="41"/>
      <c r="J218" s="41"/>
      <c r="L218" s="28" t="str">
        <f t="shared" si="2"/>
        <v/>
      </c>
    </row>
    <row r="219" spans="2:12" x14ac:dyDescent="0.15">
      <c r="B219" s="41" t="str">
        <f>IF(ISERROR(VLOOKUP($A219,通讯录!$A:$M,3,FALSE)&amp;""),"",VLOOKUP($A219,通讯录!$A:$M,3,FALSE)&amp;"")</f>
        <v/>
      </c>
      <c r="C219" s="41" t="str">
        <f>IF(ISERROR(VLOOKUP($A219,通讯录!$A:$M,7,FALSE)&amp;""),"",VLOOKUP($A219,通讯录!$A:$M,7,FALSE)&amp;"")</f>
        <v/>
      </c>
      <c r="D219" s="41" t="str">
        <f>IF(ISERROR(VLOOKUP($A219,通讯录!$A:$M,5,FALSE)&amp;""),"",VLOOKUP($A219,通讯录!$A:$M,5,FALSE)&amp;"")</f>
        <v/>
      </c>
      <c r="E219" s="41" t="str">
        <f>IF(ISERROR(VLOOKUP($A219,通讯录!$A:$M,6,FALSE)&amp;""),"",VLOOKUP($A219,通讯录!$A:$M,6,FALSE)&amp;"")</f>
        <v/>
      </c>
      <c r="F219" s="41" t="str">
        <f>IF(ISERROR(VLOOKUP($A219,通讯录!$A:$M,4,FALSE)&amp;""),"",VLOOKUP($A219,通讯录!$A:$M,4,FALSE)&amp;"")</f>
        <v/>
      </c>
      <c r="G219" s="41" t="str">
        <f>IF(ISERROR(VLOOKUP($A219,通讯录!$A:$M,8,FALSE)&amp;""),"",VLOOKUP($A219,通讯录!$A:$M,8,FALSE)&amp;"")</f>
        <v/>
      </c>
      <c r="H219" s="41"/>
      <c r="I219" s="41"/>
      <c r="J219" s="41"/>
      <c r="L219" s="28" t="str">
        <f t="shared" si="2"/>
        <v/>
      </c>
    </row>
    <row r="220" spans="2:12" x14ac:dyDescent="0.15">
      <c r="B220" s="41" t="str">
        <f>IF(ISERROR(VLOOKUP($A220,通讯录!$A:$M,3,FALSE)&amp;""),"",VLOOKUP($A220,通讯录!$A:$M,3,FALSE)&amp;"")</f>
        <v/>
      </c>
      <c r="C220" s="41" t="str">
        <f>IF(ISERROR(VLOOKUP($A220,通讯录!$A:$M,7,FALSE)&amp;""),"",VLOOKUP($A220,通讯录!$A:$M,7,FALSE)&amp;"")</f>
        <v/>
      </c>
      <c r="D220" s="41" t="str">
        <f>IF(ISERROR(VLOOKUP($A220,通讯录!$A:$M,5,FALSE)&amp;""),"",VLOOKUP($A220,通讯录!$A:$M,5,FALSE)&amp;"")</f>
        <v/>
      </c>
      <c r="E220" s="41" t="str">
        <f>IF(ISERROR(VLOOKUP($A220,通讯录!$A:$M,6,FALSE)&amp;""),"",VLOOKUP($A220,通讯录!$A:$M,6,FALSE)&amp;"")</f>
        <v/>
      </c>
      <c r="F220" s="41" t="str">
        <f>IF(ISERROR(VLOOKUP($A220,通讯录!$A:$M,4,FALSE)&amp;""),"",VLOOKUP($A220,通讯录!$A:$M,4,FALSE)&amp;"")</f>
        <v/>
      </c>
      <c r="G220" s="41" t="str">
        <f>IF(ISERROR(VLOOKUP($A220,通讯录!$A:$M,8,FALSE)&amp;""),"",VLOOKUP($A220,通讯录!$A:$M,8,FALSE)&amp;"")</f>
        <v/>
      </c>
      <c r="H220" s="41"/>
      <c r="I220" s="41"/>
      <c r="J220" s="41"/>
      <c r="L220" s="28" t="str">
        <f t="shared" si="2"/>
        <v/>
      </c>
    </row>
    <row r="221" spans="2:12" x14ac:dyDescent="0.15">
      <c r="B221" s="41" t="str">
        <f>IF(ISERROR(VLOOKUP($A221,通讯录!$A:$M,3,FALSE)&amp;""),"",VLOOKUP($A221,通讯录!$A:$M,3,FALSE)&amp;"")</f>
        <v/>
      </c>
      <c r="C221" s="41" t="str">
        <f>IF(ISERROR(VLOOKUP($A221,通讯录!$A:$M,7,FALSE)&amp;""),"",VLOOKUP($A221,通讯录!$A:$M,7,FALSE)&amp;"")</f>
        <v/>
      </c>
      <c r="D221" s="41" t="str">
        <f>IF(ISERROR(VLOOKUP($A221,通讯录!$A:$M,5,FALSE)&amp;""),"",VLOOKUP($A221,通讯录!$A:$M,5,FALSE)&amp;"")</f>
        <v/>
      </c>
      <c r="E221" s="41" t="str">
        <f>IF(ISERROR(VLOOKUP($A221,通讯录!$A:$M,6,FALSE)&amp;""),"",VLOOKUP($A221,通讯录!$A:$M,6,FALSE)&amp;"")</f>
        <v/>
      </c>
      <c r="F221" s="41" t="str">
        <f>IF(ISERROR(VLOOKUP($A221,通讯录!$A:$M,4,FALSE)&amp;""),"",VLOOKUP($A221,通讯录!$A:$M,4,FALSE)&amp;"")</f>
        <v/>
      </c>
      <c r="G221" s="41" t="str">
        <f>IF(ISERROR(VLOOKUP($A221,通讯录!$A:$M,8,FALSE)&amp;""),"",VLOOKUP($A221,通讯录!$A:$M,8,FALSE)&amp;"")</f>
        <v/>
      </c>
      <c r="H221" s="41"/>
      <c r="I221" s="41"/>
      <c r="J221" s="41"/>
      <c r="L221" s="28" t="str">
        <f t="shared" si="2"/>
        <v/>
      </c>
    </row>
    <row r="222" spans="2:12" x14ac:dyDescent="0.15">
      <c r="B222" s="41" t="str">
        <f>IF(ISERROR(VLOOKUP($A222,通讯录!$A:$M,3,FALSE)&amp;""),"",VLOOKUP($A222,通讯录!$A:$M,3,FALSE)&amp;"")</f>
        <v/>
      </c>
      <c r="C222" s="41" t="str">
        <f>IF(ISERROR(VLOOKUP($A222,通讯录!$A:$M,7,FALSE)&amp;""),"",VLOOKUP($A222,通讯录!$A:$M,7,FALSE)&amp;"")</f>
        <v/>
      </c>
      <c r="D222" s="41" t="str">
        <f>IF(ISERROR(VLOOKUP($A222,通讯录!$A:$M,5,FALSE)&amp;""),"",VLOOKUP($A222,通讯录!$A:$M,5,FALSE)&amp;"")</f>
        <v/>
      </c>
      <c r="E222" s="41" t="str">
        <f>IF(ISERROR(VLOOKUP($A222,通讯录!$A:$M,6,FALSE)&amp;""),"",VLOOKUP($A222,通讯录!$A:$M,6,FALSE)&amp;"")</f>
        <v/>
      </c>
      <c r="F222" s="41" t="str">
        <f>IF(ISERROR(VLOOKUP($A222,通讯录!$A:$M,4,FALSE)&amp;""),"",VLOOKUP($A222,通讯录!$A:$M,4,FALSE)&amp;"")</f>
        <v/>
      </c>
      <c r="G222" s="41" t="str">
        <f>IF(ISERROR(VLOOKUP($A222,通讯录!$A:$M,8,FALSE)&amp;""),"",VLOOKUP($A222,通讯录!$A:$M,8,FALSE)&amp;"")</f>
        <v/>
      </c>
      <c r="H222" s="41"/>
      <c r="I222" s="41"/>
      <c r="J222" s="41"/>
      <c r="L222" s="28" t="str">
        <f t="shared" si="2"/>
        <v/>
      </c>
    </row>
    <row r="223" spans="2:12" x14ac:dyDescent="0.15">
      <c r="B223" s="41" t="str">
        <f>IF(ISERROR(VLOOKUP($A223,通讯录!$A:$M,3,FALSE)&amp;""),"",VLOOKUP($A223,通讯录!$A:$M,3,FALSE)&amp;"")</f>
        <v/>
      </c>
      <c r="C223" s="41" t="str">
        <f>IF(ISERROR(VLOOKUP($A223,通讯录!$A:$M,7,FALSE)&amp;""),"",VLOOKUP($A223,通讯录!$A:$M,7,FALSE)&amp;"")</f>
        <v/>
      </c>
      <c r="D223" s="41" t="str">
        <f>IF(ISERROR(VLOOKUP($A223,通讯录!$A:$M,5,FALSE)&amp;""),"",VLOOKUP($A223,通讯录!$A:$M,5,FALSE)&amp;"")</f>
        <v/>
      </c>
      <c r="E223" s="41" t="str">
        <f>IF(ISERROR(VLOOKUP($A223,通讯录!$A:$M,6,FALSE)&amp;""),"",VLOOKUP($A223,通讯录!$A:$M,6,FALSE)&amp;"")</f>
        <v/>
      </c>
      <c r="F223" s="41" t="str">
        <f>IF(ISERROR(VLOOKUP($A223,通讯录!$A:$M,4,FALSE)&amp;""),"",VLOOKUP($A223,通讯录!$A:$M,4,FALSE)&amp;"")</f>
        <v/>
      </c>
      <c r="G223" s="41" t="str">
        <f>IF(ISERROR(VLOOKUP($A223,通讯录!$A:$M,8,FALSE)&amp;""),"",VLOOKUP($A223,通讯录!$A:$M,8,FALSE)&amp;"")</f>
        <v/>
      </c>
      <c r="H223" s="41"/>
      <c r="I223" s="41"/>
      <c r="J223" s="41"/>
      <c r="L223" s="28" t="str">
        <f t="shared" si="2"/>
        <v/>
      </c>
    </row>
    <row r="224" spans="2:12" x14ac:dyDescent="0.15">
      <c r="B224" s="41" t="str">
        <f>IF(ISERROR(VLOOKUP($A224,通讯录!$A:$M,3,FALSE)&amp;""),"",VLOOKUP($A224,通讯录!$A:$M,3,FALSE)&amp;"")</f>
        <v/>
      </c>
      <c r="C224" s="41" t="str">
        <f>IF(ISERROR(VLOOKUP($A224,通讯录!$A:$M,7,FALSE)&amp;""),"",VLOOKUP($A224,通讯录!$A:$M,7,FALSE)&amp;"")</f>
        <v/>
      </c>
      <c r="D224" s="41" t="str">
        <f>IF(ISERROR(VLOOKUP($A224,通讯录!$A:$M,5,FALSE)&amp;""),"",VLOOKUP($A224,通讯录!$A:$M,5,FALSE)&amp;"")</f>
        <v/>
      </c>
      <c r="E224" s="41" t="str">
        <f>IF(ISERROR(VLOOKUP($A224,通讯录!$A:$M,6,FALSE)&amp;""),"",VLOOKUP($A224,通讯录!$A:$M,6,FALSE)&amp;"")</f>
        <v/>
      </c>
      <c r="F224" s="41" t="str">
        <f>IF(ISERROR(VLOOKUP($A224,通讯录!$A:$M,4,FALSE)&amp;""),"",VLOOKUP($A224,通讯录!$A:$M,4,FALSE)&amp;"")</f>
        <v/>
      </c>
      <c r="G224" s="41" t="str">
        <f>IF(ISERROR(VLOOKUP($A224,通讯录!$A:$M,8,FALSE)&amp;""),"",VLOOKUP($A224,通讯录!$A:$M,8,FALSE)&amp;"")</f>
        <v/>
      </c>
      <c r="H224" s="41"/>
      <c r="I224" s="41"/>
      <c r="J224" s="41"/>
      <c r="L224" s="28" t="str">
        <f t="shared" si="2"/>
        <v/>
      </c>
    </row>
    <row r="225" spans="2:12" x14ac:dyDescent="0.15">
      <c r="B225" s="41" t="str">
        <f>IF(ISERROR(VLOOKUP($A225,通讯录!$A:$M,3,FALSE)&amp;""),"",VLOOKUP($A225,通讯录!$A:$M,3,FALSE)&amp;"")</f>
        <v/>
      </c>
      <c r="C225" s="41" t="str">
        <f>IF(ISERROR(VLOOKUP($A225,通讯录!$A:$M,7,FALSE)&amp;""),"",VLOOKUP($A225,通讯录!$A:$M,7,FALSE)&amp;"")</f>
        <v/>
      </c>
      <c r="D225" s="41" t="str">
        <f>IF(ISERROR(VLOOKUP($A225,通讯录!$A:$M,5,FALSE)&amp;""),"",VLOOKUP($A225,通讯录!$A:$M,5,FALSE)&amp;"")</f>
        <v/>
      </c>
      <c r="E225" s="41" t="str">
        <f>IF(ISERROR(VLOOKUP($A225,通讯录!$A:$M,6,FALSE)&amp;""),"",VLOOKUP($A225,通讯录!$A:$M,6,FALSE)&amp;"")</f>
        <v/>
      </c>
      <c r="F225" s="41" t="str">
        <f>IF(ISERROR(VLOOKUP($A225,通讯录!$A:$M,4,FALSE)&amp;""),"",VLOOKUP($A225,通讯录!$A:$M,4,FALSE)&amp;"")</f>
        <v/>
      </c>
      <c r="G225" s="41" t="str">
        <f>IF(ISERROR(VLOOKUP($A225,通讯录!$A:$M,8,FALSE)&amp;""),"",VLOOKUP($A225,通讯录!$A:$M,8,FALSE)&amp;"")</f>
        <v/>
      </c>
      <c r="H225" s="41"/>
      <c r="I225" s="41"/>
      <c r="J225" s="41"/>
      <c r="L225" s="28" t="str">
        <f t="shared" si="2"/>
        <v/>
      </c>
    </row>
    <row r="226" spans="2:12" x14ac:dyDescent="0.15">
      <c r="B226" s="41" t="str">
        <f>IF(ISERROR(VLOOKUP($A226,通讯录!$A:$M,3,FALSE)&amp;""),"",VLOOKUP($A226,通讯录!$A:$M,3,FALSE)&amp;"")</f>
        <v/>
      </c>
      <c r="C226" s="41" t="str">
        <f>IF(ISERROR(VLOOKUP($A226,通讯录!$A:$M,7,FALSE)&amp;""),"",VLOOKUP($A226,通讯录!$A:$M,7,FALSE)&amp;"")</f>
        <v/>
      </c>
      <c r="D226" s="41" t="str">
        <f>IF(ISERROR(VLOOKUP($A226,通讯录!$A:$M,5,FALSE)&amp;""),"",VLOOKUP($A226,通讯录!$A:$M,5,FALSE)&amp;"")</f>
        <v/>
      </c>
      <c r="E226" s="41" t="str">
        <f>IF(ISERROR(VLOOKUP($A226,通讯录!$A:$M,6,FALSE)&amp;""),"",VLOOKUP($A226,通讯录!$A:$M,6,FALSE)&amp;"")</f>
        <v/>
      </c>
      <c r="F226" s="41" t="str">
        <f>IF(ISERROR(VLOOKUP($A226,通讯录!$A:$M,4,FALSE)&amp;""),"",VLOOKUP($A226,通讯录!$A:$M,4,FALSE)&amp;"")</f>
        <v/>
      </c>
      <c r="G226" s="41" t="str">
        <f>IF(ISERROR(VLOOKUP($A226,通讯录!$A:$M,8,FALSE)&amp;""),"",VLOOKUP($A226,通讯录!$A:$M,8,FALSE)&amp;"")</f>
        <v/>
      </c>
      <c r="H226" s="41"/>
      <c r="I226" s="41"/>
      <c r="J226" s="41"/>
      <c r="L226" s="28" t="str">
        <f t="shared" si="2"/>
        <v/>
      </c>
    </row>
    <row r="227" spans="2:12" x14ac:dyDescent="0.15">
      <c r="B227" s="41" t="str">
        <f>IF(ISERROR(VLOOKUP($A227,通讯录!$A:$M,3,FALSE)&amp;""),"",VLOOKUP($A227,通讯录!$A:$M,3,FALSE)&amp;"")</f>
        <v/>
      </c>
      <c r="C227" s="41" t="str">
        <f>IF(ISERROR(VLOOKUP($A227,通讯录!$A:$M,7,FALSE)&amp;""),"",VLOOKUP($A227,通讯录!$A:$M,7,FALSE)&amp;"")</f>
        <v/>
      </c>
      <c r="D227" s="41" t="str">
        <f>IF(ISERROR(VLOOKUP($A227,通讯录!$A:$M,5,FALSE)&amp;""),"",VLOOKUP($A227,通讯录!$A:$M,5,FALSE)&amp;"")</f>
        <v/>
      </c>
      <c r="E227" s="41" t="str">
        <f>IF(ISERROR(VLOOKUP($A227,通讯录!$A:$M,6,FALSE)&amp;""),"",VLOOKUP($A227,通讯录!$A:$M,6,FALSE)&amp;"")</f>
        <v/>
      </c>
      <c r="F227" s="41" t="str">
        <f>IF(ISERROR(VLOOKUP($A227,通讯录!$A:$M,4,FALSE)&amp;""),"",VLOOKUP($A227,通讯录!$A:$M,4,FALSE)&amp;"")</f>
        <v/>
      </c>
      <c r="G227" s="41" t="str">
        <f>IF(ISERROR(VLOOKUP($A227,通讯录!$A:$M,8,FALSE)&amp;""),"",VLOOKUP($A227,通讯录!$A:$M,8,FALSE)&amp;"")</f>
        <v/>
      </c>
      <c r="H227" s="41"/>
      <c r="I227" s="41"/>
      <c r="J227" s="41"/>
      <c r="L227" s="28" t="str">
        <f t="shared" si="2"/>
        <v/>
      </c>
    </row>
    <row r="228" spans="2:12" x14ac:dyDescent="0.15">
      <c r="B228" s="41" t="str">
        <f>IF(ISERROR(VLOOKUP($A228,通讯录!$A:$M,3,FALSE)&amp;""),"",VLOOKUP($A228,通讯录!$A:$M,3,FALSE)&amp;"")</f>
        <v/>
      </c>
      <c r="C228" s="41" t="str">
        <f>IF(ISERROR(VLOOKUP($A228,通讯录!$A:$M,7,FALSE)&amp;""),"",VLOOKUP($A228,通讯录!$A:$M,7,FALSE)&amp;"")</f>
        <v/>
      </c>
      <c r="D228" s="41" t="str">
        <f>IF(ISERROR(VLOOKUP($A228,通讯录!$A:$M,5,FALSE)&amp;""),"",VLOOKUP($A228,通讯录!$A:$M,5,FALSE)&amp;"")</f>
        <v/>
      </c>
      <c r="E228" s="41" t="str">
        <f>IF(ISERROR(VLOOKUP($A228,通讯录!$A:$M,6,FALSE)&amp;""),"",VLOOKUP($A228,通讯录!$A:$M,6,FALSE)&amp;"")</f>
        <v/>
      </c>
      <c r="F228" s="41" t="str">
        <f>IF(ISERROR(VLOOKUP($A228,通讯录!$A:$M,4,FALSE)&amp;""),"",VLOOKUP($A228,通讯录!$A:$M,4,FALSE)&amp;"")</f>
        <v/>
      </c>
      <c r="G228" s="41" t="str">
        <f>IF(ISERROR(VLOOKUP($A228,通讯录!$A:$M,8,FALSE)&amp;""),"",VLOOKUP($A228,通讯录!$A:$M,8,FALSE)&amp;"")</f>
        <v/>
      </c>
      <c r="H228" s="41"/>
      <c r="I228" s="41"/>
      <c r="J228" s="41"/>
      <c r="L228" s="28" t="str">
        <f t="shared" si="2"/>
        <v/>
      </c>
    </row>
    <row r="229" spans="2:12" x14ac:dyDescent="0.15">
      <c r="B229" s="41" t="str">
        <f>IF(ISERROR(VLOOKUP($A229,通讯录!$A:$M,3,FALSE)&amp;""),"",VLOOKUP($A229,通讯录!$A:$M,3,FALSE)&amp;"")</f>
        <v/>
      </c>
      <c r="C229" s="41" t="str">
        <f>IF(ISERROR(VLOOKUP($A229,通讯录!$A:$M,7,FALSE)&amp;""),"",VLOOKUP($A229,通讯录!$A:$M,7,FALSE)&amp;"")</f>
        <v/>
      </c>
      <c r="D229" s="41" t="str">
        <f>IF(ISERROR(VLOOKUP($A229,通讯录!$A:$M,5,FALSE)&amp;""),"",VLOOKUP($A229,通讯录!$A:$M,5,FALSE)&amp;"")</f>
        <v/>
      </c>
      <c r="E229" s="41" t="str">
        <f>IF(ISERROR(VLOOKUP($A229,通讯录!$A:$M,6,FALSE)&amp;""),"",VLOOKUP($A229,通讯录!$A:$M,6,FALSE)&amp;"")</f>
        <v/>
      </c>
      <c r="F229" s="41" t="str">
        <f>IF(ISERROR(VLOOKUP($A229,通讯录!$A:$M,4,FALSE)&amp;""),"",VLOOKUP($A229,通讯录!$A:$M,4,FALSE)&amp;"")</f>
        <v/>
      </c>
      <c r="G229" s="41" t="str">
        <f>IF(ISERROR(VLOOKUP($A229,通讯录!$A:$M,8,FALSE)&amp;""),"",VLOOKUP($A229,通讯录!$A:$M,8,FALSE)&amp;"")</f>
        <v/>
      </c>
      <c r="H229" s="41"/>
      <c r="I229" s="41"/>
      <c r="J229" s="41"/>
      <c r="L229" s="28" t="str">
        <f t="shared" si="2"/>
        <v/>
      </c>
    </row>
    <row r="230" spans="2:12" x14ac:dyDescent="0.15">
      <c r="B230" s="41" t="str">
        <f>IF(ISERROR(VLOOKUP($A230,通讯录!$A:$M,3,FALSE)&amp;""),"",VLOOKUP($A230,通讯录!$A:$M,3,FALSE)&amp;"")</f>
        <v/>
      </c>
      <c r="C230" s="41" t="str">
        <f>IF(ISERROR(VLOOKUP($A230,通讯录!$A:$M,7,FALSE)&amp;""),"",VLOOKUP($A230,通讯录!$A:$M,7,FALSE)&amp;"")</f>
        <v/>
      </c>
      <c r="D230" s="41" t="str">
        <f>IF(ISERROR(VLOOKUP($A230,通讯录!$A:$M,5,FALSE)&amp;""),"",VLOOKUP($A230,通讯录!$A:$M,5,FALSE)&amp;"")</f>
        <v/>
      </c>
      <c r="E230" s="41" t="str">
        <f>IF(ISERROR(VLOOKUP($A230,通讯录!$A:$M,6,FALSE)&amp;""),"",VLOOKUP($A230,通讯录!$A:$M,6,FALSE)&amp;"")</f>
        <v/>
      </c>
      <c r="F230" s="41" t="str">
        <f>IF(ISERROR(VLOOKUP($A230,通讯录!$A:$M,4,FALSE)&amp;""),"",VLOOKUP($A230,通讯录!$A:$M,4,FALSE)&amp;"")</f>
        <v/>
      </c>
      <c r="G230" s="41" t="str">
        <f>IF(ISERROR(VLOOKUP($A230,通讯录!$A:$M,8,FALSE)&amp;""),"",VLOOKUP($A230,通讯录!$A:$M,8,FALSE)&amp;"")</f>
        <v/>
      </c>
      <c r="H230" s="41"/>
      <c r="I230" s="41"/>
      <c r="J230" s="41"/>
      <c r="L230" s="28" t="str">
        <f t="shared" si="2"/>
        <v/>
      </c>
    </row>
    <row r="231" spans="2:12" x14ac:dyDescent="0.15">
      <c r="B231" s="41" t="str">
        <f>IF(ISERROR(VLOOKUP($A231,通讯录!$A:$M,3,FALSE)&amp;""),"",VLOOKUP($A231,通讯录!$A:$M,3,FALSE)&amp;"")</f>
        <v/>
      </c>
      <c r="C231" s="41" t="str">
        <f>IF(ISERROR(VLOOKUP($A231,通讯录!$A:$M,7,FALSE)&amp;""),"",VLOOKUP($A231,通讯录!$A:$M,7,FALSE)&amp;"")</f>
        <v/>
      </c>
      <c r="D231" s="41" t="str">
        <f>IF(ISERROR(VLOOKUP($A231,通讯录!$A:$M,5,FALSE)&amp;""),"",VLOOKUP($A231,通讯录!$A:$M,5,FALSE)&amp;"")</f>
        <v/>
      </c>
      <c r="E231" s="41" t="str">
        <f>IF(ISERROR(VLOOKUP($A231,通讯录!$A:$M,6,FALSE)&amp;""),"",VLOOKUP($A231,通讯录!$A:$M,6,FALSE)&amp;"")</f>
        <v/>
      </c>
      <c r="F231" s="41" t="str">
        <f>IF(ISERROR(VLOOKUP($A231,通讯录!$A:$M,4,FALSE)&amp;""),"",VLOOKUP($A231,通讯录!$A:$M,4,FALSE)&amp;"")</f>
        <v/>
      </c>
      <c r="G231" s="41" t="str">
        <f>IF(ISERROR(VLOOKUP($A231,通讯录!$A:$M,8,FALSE)&amp;""),"",VLOOKUP($A231,通讯录!$A:$M,8,FALSE)&amp;"")</f>
        <v/>
      </c>
      <c r="H231" s="41"/>
      <c r="I231" s="41"/>
      <c r="J231" s="41"/>
      <c r="L231" s="28" t="str">
        <f t="shared" si="2"/>
        <v/>
      </c>
    </row>
    <row r="232" spans="2:12" x14ac:dyDescent="0.15">
      <c r="B232" s="41" t="str">
        <f>IF(ISERROR(VLOOKUP($A232,通讯录!$A:$M,3,FALSE)&amp;""),"",VLOOKUP($A232,通讯录!$A:$M,3,FALSE)&amp;"")</f>
        <v/>
      </c>
      <c r="C232" s="41" t="str">
        <f>IF(ISERROR(VLOOKUP($A232,通讯录!$A:$M,7,FALSE)&amp;""),"",VLOOKUP($A232,通讯录!$A:$M,7,FALSE)&amp;"")</f>
        <v/>
      </c>
      <c r="D232" s="41" t="str">
        <f>IF(ISERROR(VLOOKUP($A232,通讯录!$A:$M,5,FALSE)&amp;""),"",VLOOKUP($A232,通讯录!$A:$M,5,FALSE)&amp;"")</f>
        <v/>
      </c>
      <c r="E232" s="41" t="str">
        <f>IF(ISERROR(VLOOKUP($A232,通讯录!$A:$M,6,FALSE)&amp;""),"",VLOOKUP($A232,通讯录!$A:$M,6,FALSE)&amp;"")</f>
        <v/>
      </c>
      <c r="F232" s="41" t="str">
        <f>IF(ISERROR(VLOOKUP($A232,通讯录!$A:$M,4,FALSE)&amp;""),"",VLOOKUP($A232,通讯录!$A:$M,4,FALSE)&amp;"")</f>
        <v/>
      </c>
      <c r="G232" s="41" t="str">
        <f>IF(ISERROR(VLOOKUP($A232,通讯录!$A:$M,8,FALSE)&amp;""),"",VLOOKUP($A232,通讯录!$A:$M,8,FALSE)&amp;"")</f>
        <v/>
      </c>
      <c r="H232" s="41"/>
      <c r="I232" s="41"/>
      <c r="J232" s="41"/>
      <c r="L232" s="28" t="str">
        <f t="shared" si="2"/>
        <v/>
      </c>
    </row>
    <row r="233" spans="2:12" x14ac:dyDescent="0.15">
      <c r="B233" s="41" t="str">
        <f>IF(ISERROR(VLOOKUP($A233,通讯录!$A:$M,3,FALSE)&amp;""),"",VLOOKUP($A233,通讯录!$A:$M,3,FALSE)&amp;"")</f>
        <v/>
      </c>
      <c r="C233" s="41" t="str">
        <f>IF(ISERROR(VLOOKUP($A233,通讯录!$A:$M,7,FALSE)&amp;""),"",VLOOKUP($A233,通讯录!$A:$M,7,FALSE)&amp;"")</f>
        <v/>
      </c>
      <c r="D233" s="41" t="str">
        <f>IF(ISERROR(VLOOKUP($A233,通讯录!$A:$M,5,FALSE)&amp;""),"",VLOOKUP($A233,通讯录!$A:$M,5,FALSE)&amp;"")</f>
        <v/>
      </c>
      <c r="E233" s="41" t="str">
        <f>IF(ISERROR(VLOOKUP($A233,通讯录!$A:$M,6,FALSE)&amp;""),"",VLOOKUP($A233,通讯录!$A:$M,6,FALSE)&amp;"")</f>
        <v/>
      </c>
      <c r="F233" s="41" t="str">
        <f>IF(ISERROR(VLOOKUP($A233,通讯录!$A:$M,4,FALSE)&amp;""),"",VLOOKUP($A233,通讯录!$A:$M,4,FALSE)&amp;"")</f>
        <v/>
      </c>
      <c r="G233" s="41" t="str">
        <f>IF(ISERROR(VLOOKUP($A233,通讯录!$A:$M,8,FALSE)&amp;""),"",VLOOKUP($A233,通讯录!$A:$M,8,FALSE)&amp;"")</f>
        <v/>
      </c>
      <c r="H233" s="41"/>
      <c r="I233" s="41"/>
      <c r="J233" s="41"/>
      <c r="L233" s="28" t="str">
        <f t="shared" si="2"/>
        <v/>
      </c>
    </row>
    <row r="234" spans="2:12" x14ac:dyDescent="0.15">
      <c r="B234" s="41" t="str">
        <f>IF(ISERROR(VLOOKUP($A234,通讯录!$A:$M,3,FALSE)&amp;""),"",VLOOKUP($A234,通讯录!$A:$M,3,FALSE)&amp;"")</f>
        <v/>
      </c>
      <c r="C234" s="41" t="str">
        <f>IF(ISERROR(VLOOKUP($A234,通讯录!$A:$M,7,FALSE)&amp;""),"",VLOOKUP($A234,通讯录!$A:$M,7,FALSE)&amp;"")</f>
        <v/>
      </c>
      <c r="D234" s="41" t="str">
        <f>IF(ISERROR(VLOOKUP($A234,通讯录!$A:$M,5,FALSE)&amp;""),"",VLOOKUP($A234,通讯录!$A:$M,5,FALSE)&amp;"")</f>
        <v/>
      </c>
      <c r="E234" s="41" t="str">
        <f>IF(ISERROR(VLOOKUP($A234,通讯录!$A:$M,6,FALSE)&amp;""),"",VLOOKUP($A234,通讯录!$A:$M,6,FALSE)&amp;"")</f>
        <v/>
      </c>
      <c r="F234" s="41" t="str">
        <f>IF(ISERROR(VLOOKUP($A234,通讯录!$A:$M,4,FALSE)&amp;""),"",VLOOKUP($A234,通讯录!$A:$M,4,FALSE)&amp;"")</f>
        <v/>
      </c>
      <c r="G234" s="41" t="str">
        <f>IF(ISERROR(VLOOKUP($A234,通讯录!$A:$M,8,FALSE)&amp;""),"",VLOOKUP($A234,通讯录!$A:$M,8,FALSE)&amp;"")</f>
        <v/>
      </c>
      <c r="H234" s="41"/>
      <c r="I234" s="41"/>
      <c r="J234" s="41"/>
      <c r="L234" s="28" t="str">
        <f t="shared" si="2"/>
        <v/>
      </c>
    </row>
    <row r="235" spans="2:12" x14ac:dyDescent="0.15">
      <c r="B235" s="41" t="str">
        <f>IF(ISERROR(VLOOKUP($A235,通讯录!$A:$M,3,FALSE)&amp;""),"",VLOOKUP($A235,通讯录!$A:$M,3,FALSE)&amp;"")</f>
        <v/>
      </c>
      <c r="C235" s="41" t="str">
        <f>IF(ISERROR(VLOOKUP($A235,通讯录!$A:$M,7,FALSE)&amp;""),"",VLOOKUP($A235,通讯录!$A:$M,7,FALSE)&amp;"")</f>
        <v/>
      </c>
      <c r="D235" s="41" t="str">
        <f>IF(ISERROR(VLOOKUP($A235,通讯录!$A:$M,5,FALSE)&amp;""),"",VLOOKUP($A235,通讯录!$A:$M,5,FALSE)&amp;"")</f>
        <v/>
      </c>
      <c r="E235" s="41" t="str">
        <f>IF(ISERROR(VLOOKUP($A235,通讯录!$A:$M,6,FALSE)&amp;""),"",VLOOKUP($A235,通讯录!$A:$M,6,FALSE)&amp;"")</f>
        <v/>
      </c>
      <c r="F235" s="41" t="str">
        <f>IF(ISERROR(VLOOKUP($A235,通讯录!$A:$M,4,FALSE)&amp;""),"",VLOOKUP($A235,通讯录!$A:$M,4,FALSE)&amp;"")</f>
        <v/>
      </c>
      <c r="G235" s="41" t="str">
        <f>IF(ISERROR(VLOOKUP($A235,通讯录!$A:$M,8,FALSE)&amp;""),"",VLOOKUP($A235,通讯录!$A:$M,8,FALSE)&amp;"")</f>
        <v/>
      </c>
      <c r="H235" s="41"/>
      <c r="I235" s="41"/>
      <c r="J235" s="41"/>
      <c r="L235" s="28" t="str">
        <f t="shared" si="2"/>
        <v/>
      </c>
    </row>
    <row r="236" spans="2:12" x14ac:dyDescent="0.15">
      <c r="B236" s="41" t="str">
        <f>IF(ISERROR(VLOOKUP($A236,通讯录!$A:$M,3,FALSE)&amp;""),"",VLOOKUP($A236,通讯录!$A:$M,3,FALSE)&amp;"")</f>
        <v/>
      </c>
      <c r="C236" s="41" t="str">
        <f>IF(ISERROR(VLOOKUP($A236,通讯录!$A:$M,7,FALSE)&amp;""),"",VLOOKUP($A236,通讯录!$A:$M,7,FALSE)&amp;"")</f>
        <v/>
      </c>
      <c r="D236" s="41" t="str">
        <f>IF(ISERROR(VLOOKUP($A236,通讯录!$A:$M,5,FALSE)&amp;""),"",VLOOKUP($A236,通讯录!$A:$M,5,FALSE)&amp;"")</f>
        <v/>
      </c>
      <c r="E236" s="41" t="str">
        <f>IF(ISERROR(VLOOKUP($A236,通讯录!$A:$M,6,FALSE)&amp;""),"",VLOOKUP($A236,通讯录!$A:$M,6,FALSE)&amp;"")</f>
        <v/>
      </c>
      <c r="F236" s="41" t="str">
        <f>IF(ISERROR(VLOOKUP($A236,通讯录!$A:$M,4,FALSE)&amp;""),"",VLOOKUP($A236,通讯录!$A:$M,4,FALSE)&amp;"")</f>
        <v/>
      </c>
      <c r="G236" s="41" t="str">
        <f>IF(ISERROR(VLOOKUP($A236,通讯录!$A:$M,8,FALSE)&amp;""),"",VLOOKUP($A236,通讯录!$A:$M,8,FALSE)&amp;"")</f>
        <v/>
      </c>
      <c r="H236" s="41"/>
      <c r="I236" s="41"/>
      <c r="J236" s="41"/>
      <c r="L236" s="28" t="str">
        <f t="shared" si="2"/>
        <v/>
      </c>
    </row>
    <row r="237" spans="2:12" x14ac:dyDescent="0.15">
      <c r="B237" s="41" t="str">
        <f>IF(ISERROR(VLOOKUP($A237,通讯录!$A:$M,3,FALSE)&amp;""),"",VLOOKUP($A237,通讯录!$A:$M,3,FALSE)&amp;"")</f>
        <v/>
      </c>
      <c r="C237" s="41" t="str">
        <f>IF(ISERROR(VLOOKUP($A237,通讯录!$A:$M,7,FALSE)&amp;""),"",VLOOKUP($A237,通讯录!$A:$M,7,FALSE)&amp;"")</f>
        <v/>
      </c>
      <c r="D237" s="41" t="str">
        <f>IF(ISERROR(VLOOKUP($A237,通讯录!$A:$M,5,FALSE)&amp;""),"",VLOOKUP($A237,通讯录!$A:$M,5,FALSE)&amp;"")</f>
        <v/>
      </c>
      <c r="E237" s="41" t="str">
        <f>IF(ISERROR(VLOOKUP($A237,通讯录!$A:$M,6,FALSE)&amp;""),"",VLOOKUP($A237,通讯录!$A:$M,6,FALSE)&amp;"")</f>
        <v/>
      </c>
      <c r="F237" s="41" t="str">
        <f>IF(ISERROR(VLOOKUP($A237,通讯录!$A:$M,4,FALSE)&amp;""),"",VLOOKUP($A237,通讯录!$A:$M,4,FALSE)&amp;"")</f>
        <v/>
      </c>
      <c r="G237" s="41" t="str">
        <f>IF(ISERROR(VLOOKUP($A237,通讯录!$A:$M,8,FALSE)&amp;""),"",VLOOKUP($A237,通讯录!$A:$M,8,FALSE)&amp;"")</f>
        <v/>
      </c>
      <c r="H237" s="41"/>
      <c r="I237" s="41"/>
      <c r="J237" s="41"/>
      <c r="L237" s="28" t="str">
        <f t="shared" si="2"/>
        <v/>
      </c>
    </row>
    <row r="238" spans="2:12" x14ac:dyDescent="0.15">
      <c r="B238" s="41" t="str">
        <f>IF(ISERROR(VLOOKUP($A238,通讯录!$A:$M,3,FALSE)&amp;""),"",VLOOKUP($A238,通讯录!$A:$M,3,FALSE)&amp;"")</f>
        <v/>
      </c>
      <c r="C238" s="41" t="str">
        <f>IF(ISERROR(VLOOKUP($A238,通讯录!$A:$M,7,FALSE)&amp;""),"",VLOOKUP($A238,通讯录!$A:$M,7,FALSE)&amp;"")</f>
        <v/>
      </c>
      <c r="D238" s="41" t="str">
        <f>IF(ISERROR(VLOOKUP($A238,通讯录!$A:$M,5,FALSE)&amp;""),"",VLOOKUP($A238,通讯录!$A:$M,5,FALSE)&amp;"")</f>
        <v/>
      </c>
      <c r="E238" s="41" t="str">
        <f>IF(ISERROR(VLOOKUP($A238,通讯录!$A:$M,6,FALSE)&amp;""),"",VLOOKUP($A238,通讯录!$A:$M,6,FALSE)&amp;"")</f>
        <v/>
      </c>
      <c r="F238" s="41" t="str">
        <f>IF(ISERROR(VLOOKUP($A238,通讯录!$A:$M,4,FALSE)&amp;""),"",VLOOKUP($A238,通讯录!$A:$M,4,FALSE)&amp;"")</f>
        <v/>
      </c>
      <c r="G238" s="41" t="str">
        <f>IF(ISERROR(VLOOKUP($A238,通讯录!$A:$M,8,FALSE)&amp;""),"",VLOOKUP($A238,通讯录!$A:$M,8,FALSE)&amp;"")</f>
        <v/>
      </c>
      <c r="H238" s="41"/>
      <c r="I238" s="41"/>
      <c r="J238" s="41"/>
      <c r="L238" s="28" t="str">
        <f t="shared" si="2"/>
        <v/>
      </c>
    </row>
    <row r="239" spans="2:12" x14ac:dyDescent="0.15">
      <c r="B239" s="41" t="str">
        <f>IF(ISERROR(VLOOKUP($A239,通讯录!$A:$M,3,FALSE)&amp;""),"",VLOOKUP($A239,通讯录!$A:$M,3,FALSE)&amp;"")</f>
        <v/>
      </c>
      <c r="C239" s="41" t="str">
        <f>IF(ISERROR(VLOOKUP($A239,通讯录!$A:$M,7,FALSE)&amp;""),"",VLOOKUP($A239,通讯录!$A:$M,7,FALSE)&amp;"")</f>
        <v/>
      </c>
      <c r="D239" s="41" t="str">
        <f>IF(ISERROR(VLOOKUP($A239,通讯录!$A:$M,5,FALSE)&amp;""),"",VLOOKUP($A239,通讯录!$A:$M,5,FALSE)&amp;"")</f>
        <v/>
      </c>
      <c r="E239" s="41" t="str">
        <f>IF(ISERROR(VLOOKUP($A239,通讯录!$A:$M,6,FALSE)&amp;""),"",VLOOKUP($A239,通讯录!$A:$M,6,FALSE)&amp;"")</f>
        <v/>
      </c>
      <c r="F239" s="41" t="str">
        <f>IF(ISERROR(VLOOKUP($A239,通讯录!$A:$M,4,FALSE)&amp;""),"",VLOOKUP($A239,通讯录!$A:$M,4,FALSE)&amp;"")</f>
        <v/>
      </c>
      <c r="G239" s="41" t="str">
        <f>IF(ISERROR(VLOOKUP($A239,通讯录!$A:$M,8,FALSE)&amp;""),"",VLOOKUP($A239,通讯录!$A:$M,8,FALSE)&amp;"")</f>
        <v/>
      </c>
      <c r="H239" s="41"/>
      <c r="I239" s="41"/>
      <c r="J239" s="41"/>
      <c r="L239" s="28" t="str">
        <f t="shared" si="2"/>
        <v/>
      </c>
    </row>
    <row r="240" spans="2:12" x14ac:dyDescent="0.15">
      <c r="B240" s="41" t="str">
        <f>IF(ISERROR(VLOOKUP($A240,通讯录!$A:$M,3,FALSE)&amp;""),"",VLOOKUP($A240,通讯录!$A:$M,3,FALSE)&amp;"")</f>
        <v/>
      </c>
      <c r="C240" s="41" t="str">
        <f>IF(ISERROR(VLOOKUP($A240,通讯录!$A:$M,7,FALSE)&amp;""),"",VLOOKUP($A240,通讯录!$A:$M,7,FALSE)&amp;"")</f>
        <v/>
      </c>
      <c r="D240" s="41" t="str">
        <f>IF(ISERROR(VLOOKUP($A240,通讯录!$A:$M,5,FALSE)&amp;""),"",VLOOKUP($A240,通讯录!$A:$M,5,FALSE)&amp;"")</f>
        <v/>
      </c>
      <c r="E240" s="41" t="str">
        <f>IF(ISERROR(VLOOKUP($A240,通讯录!$A:$M,6,FALSE)&amp;""),"",VLOOKUP($A240,通讯录!$A:$M,6,FALSE)&amp;"")</f>
        <v/>
      </c>
      <c r="F240" s="41" t="str">
        <f>IF(ISERROR(VLOOKUP($A240,通讯录!$A:$M,4,FALSE)&amp;""),"",VLOOKUP($A240,通讯录!$A:$M,4,FALSE)&amp;"")</f>
        <v/>
      </c>
      <c r="G240" s="41" t="str">
        <f>IF(ISERROR(VLOOKUP($A240,通讯录!$A:$M,8,FALSE)&amp;""),"",VLOOKUP($A240,通讯录!$A:$M,8,FALSE)&amp;"")</f>
        <v/>
      </c>
      <c r="H240" s="41"/>
      <c r="I240" s="41"/>
      <c r="J240" s="41"/>
      <c r="L240" s="28" t="str">
        <f t="shared" si="2"/>
        <v/>
      </c>
    </row>
    <row r="241" spans="2:12" x14ac:dyDescent="0.15">
      <c r="B241" s="41" t="str">
        <f>IF(ISERROR(VLOOKUP($A241,通讯录!$A:$M,3,FALSE)&amp;""),"",VLOOKUP($A241,通讯录!$A:$M,3,FALSE)&amp;"")</f>
        <v/>
      </c>
      <c r="C241" s="41" t="str">
        <f>IF(ISERROR(VLOOKUP($A241,通讯录!$A:$M,7,FALSE)&amp;""),"",VLOOKUP($A241,通讯录!$A:$M,7,FALSE)&amp;"")</f>
        <v/>
      </c>
      <c r="D241" s="41" t="str">
        <f>IF(ISERROR(VLOOKUP($A241,通讯录!$A:$M,5,FALSE)&amp;""),"",VLOOKUP($A241,通讯录!$A:$M,5,FALSE)&amp;"")</f>
        <v/>
      </c>
      <c r="E241" s="41" t="str">
        <f>IF(ISERROR(VLOOKUP($A241,通讯录!$A:$M,6,FALSE)&amp;""),"",VLOOKUP($A241,通讯录!$A:$M,6,FALSE)&amp;"")</f>
        <v/>
      </c>
      <c r="F241" s="41" t="str">
        <f>IF(ISERROR(VLOOKUP($A241,通讯录!$A:$M,4,FALSE)&amp;""),"",VLOOKUP($A241,通讯录!$A:$M,4,FALSE)&amp;"")</f>
        <v/>
      </c>
      <c r="G241" s="41" t="str">
        <f>IF(ISERROR(VLOOKUP($A241,通讯录!$A:$M,8,FALSE)&amp;""),"",VLOOKUP($A241,通讯录!$A:$M,8,FALSE)&amp;"")</f>
        <v/>
      </c>
      <c r="H241" s="41"/>
      <c r="I241" s="41"/>
      <c r="J241" s="41"/>
      <c r="L241" s="28" t="str">
        <f t="shared" si="2"/>
        <v/>
      </c>
    </row>
    <row r="242" spans="2:12" x14ac:dyDescent="0.15">
      <c r="B242" s="41" t="str">
        <f>IF(ISERROR(VLOOKUP($A242,通讯录!$A:$M,3,FALSE)&amp;""),"",VLOOKUP($A242,通讯录!$A:$M,3,FALSE)&amp;"")</f>
        <v/>
      </c>
      <c r="C242" s="41" t="str">
        <f>IF(ISERROR(VLOOKUP($A242,通讯录!$A:$M,7,FALSE)&amp;""),"",VLOOKUP($A242,通讯录!$A:$M,7,FALSE)&amp;"")</f>
        <v/>
      </c>
      <c r="D242" s="41" t="str">
        <f>IF(ISERROR(VLOOKUP($A242,通讯录!$A:$M,5,FALSE)&amp;""),"",VLOOKUP($A242,通讯录!$A:$M,5,FALSE)&amp;"")</f>
        <v/>
      </c>
      <c r="E242" s="41" t="str">
        <f>IF(ISERROR(VLOOKUP($A242,通讯录!$A:$M,6,FALSE)&amp;""),"",VLOOKUP($A242,通讯录!$A:$M,6,FALSE)&amp;"")</f>
        <v/>
      </c>
      <c r="F242" s="41" t="str">
        <f>IF(ISERROR(VLOOKUP($A242,通讯录!$A:$M,4,FALSE)&amp;""),"",VLOOKUP($A242,通讯录!$A:$M,4,FALSE)&amp;"")</f>
        <v/>
      </c>
      <c r="G242" s="41" t="str">
        <f>IF(ISERROR(VLOOKUP($A242,通讯录!$A:$M,8,FALSE)&amp;""),"",VLOOKUP($A242,通讯录!$A:$M,8,FALSE)&amp;"")</f>
        <v/>
      </c>
      <c r="H242" s="41"/>
      <c r="I242" s="41"/>
      <c r="J242" s="41"/>
      <c r="L242" s="28" t="str">
        <f t="shared" si="2"/>
        <v/>
      </c>
    </row>
    <row r="243" spans="2:12" x14ac:dyDescent="0.15">
      <c r="B243" s="41" t="str">
        <f>IF(ISERROR(VLOOKUP($A243,通讯录!$A:$M,3,FALSE)&amp;""),"",VLOOKUP($A243,通讯录!$A:$M,3,FALSE)&amp;"")</f>
        <v/>
      </c>
      <c r="C243" s="41" t="str">
        <f>IF(ISERROR(VLOOKUP($A243,通讯录!$A:$M,7,FALSE)&amp;""),"",VLOOKUP($A243,通讯录!$A:$M,7,FALSE)&amp;"")</f>
        <v/>
      </c>
      <c r="D243" s="41" t="str">
        <f>IF(ISERROR(VLOOKUP($A243,通讯录!$A:$M,5,FALSE)&amp;""),"",VLOOKUP($A243,通讯录!$A:$M,5,FALSE)&amp;"")</f>
        <v/>
      </c>
      <c r="E243" s="41" t="str">
        <f>IF(ISERROR(VLOOKUP($A243,通讯录!$A:$M,6,FALSE)&amp;""),"",VLOOKUP($A243,通讯录!$A:$M,6,FALSE)&amp;"")</f>
        <v/>
      </c>
      <c r="F243" s="41" t="str">
        <f>IF(ISERROR(VLOOKUP($A243,通讯录!$A:$M,4,FALSE)&amp;""),"",VLOOKUP($A243,通讯录!$A:$M,4,FALSE)&amp;"")</f>
        <v/>
      </c>
      <c r="G243" s="41" t="str">
        <f>IF(ISERROR(VLOOKUP($A243,通讯录!$A:$M,8,FALSE)&amp;""),"",VLOOKUP($A243,通讯录!$A:$M,8,FALSE)&amp;"")</f>
        <v/>
      </c>
      <c r="H243" s="41"/>
      <c r="I243" s="41"/>
      <c r="J243" s="41"/>
      <c r="L243" s="28" t="str">
        <f t="shared" ref="L243:L306" si="3">LEFT(A243,1)</f>
        <v/>
      </c>
    </row>
    <row r="244" spans="2:12" x14ac:dyDescent="0.15">
      <c r="B244" s="41" t="str">
        <f>IF(ISERROR(VLOOKUP($A244,通讯录!$A:$M,3,FALSE)&amp;""),"",VLOOKUP($A244,通讯录!$A:$M,3,FALSE)&amp;"")</f>
        <v/>
      </c>
      <c r="C244" s="41" t="str">
        <f>IF(ISERROR(VLOOKUP($A244,通讯录!$A:$M,7,FALSE)&amp;""),"",VLOOKUP($A244,通讯录!$A:$M,7,FALSE)&amp;"")</f>
        <v/>
      </c>
      <c r="D244" s="41" t="str">
        <f>IF(ISERROR(VLOOKUP($A244,通讯录!$A:$M,5,FALSE)&amp;""),"",VLOOKUP($A244,通讯录!$A:$M,5,FALSE)&amp;"")</f>
        <v/>
      </c>
      <c r="E244" s="41" t="str">
        <f>IF(ISERROR(VLOOKUP($A244,通讯录!$A:$M,6,FALSE)&amp;""),"",VLOOKUP($A244,通讯录!$A:$M,6,FALSE)&amp;"")</f>
        <v/>
      </c>
      <c r="F244" s="41" t="str">
        <f>IF(ISERROR(VLOOKUP($A244,通讯录!$A:$M,4,FALSE)&amp;""),"",VLOOKUP($A244,通讯录!$A:$M,4,FALSE)&amp;"")</f>
        <v/>
      </c>
      <c r="G244" s="41" t="str">
        <f>IF(ISERROR(VLOOKUP($A244,通讯录!$A:$M,8,FALSE)&amp;""),"",VLOOKUP($A244,通讯录!$A:$M,8,FALSE)&amp;"")</f>
        <v/>
      </c>
      <c r="H244" s="41"/>
      <c r="I244" s="41"/>
      <c r="J244" s="41"/>
      <c r="L244" s="28" t="str">
        <f t="shared" si="3"/>
        <v/>
      </c>
    </row>
    <row r="245" spans="2:12" x14ac:dyDescent="0.15">
      <c r="B245" s="41" t="str">
        <f>IF(ISERROR(VLOOKUP($A245,通讯录!$A:$M,3,FALSE)&amp;""),"",VLOOKUP($A245,通讯录!$A:$M,3,FALSE)&amp;"")</f>
        <v/>
      </c>
      <c r="C245" s="41" t="str">
        <f>IF(ISERROR(VLOOKUP($A245,通讯录!$A:$M,7,FALSE)&amp;""),"",VLOOKUP($A245,通讯录!$A:$M,7,FALSE)&amp;"")</f>
        <v/>
      </c>
      <c r="D245" s="41" t="str">
        <f>IF(ISERROR(VLOOKUP($A245,通讯录!$A:$M,5,FALSE)&amp;""),"",VLOOKUP($A245,通讯录!$A:$M,5,FALSE)&amp;"")</f>
        <v/>
      </c>
      <c r="E245" s="41" t="str">
        <f>IF(ISERROR(VLOOKUP($A245,通讯录!$A:$M,6,FALSE)&amp;""),"",VLOOKUP($A245,通讯录!$A:$M,6,FALSE)&amp;"")</f>
        <v/>
      </c>
      <c r="F245" s="41" t="str">
        <f>IF(ISERROR(VLOOKUP($A245,通讯录!$A:$M,4,FALSE)&amp;""),"",VLOOKUP($A245,通讯录!$A:$M,4,FALSE)&amp;"")</f>
        <v/>
      </c>
      <c r="G245" s="41" t="str">
        <f>IF(ISERROR(VLOOKUP($A245,通讯录!$A:$M,8,FALSE)&amp;""),"",VLOOKUP($A245,通讯录!$A:$M,8,FALSE)&amp;"")</f>
        <v/>
      </c>
      <c r="H245" s="41"/>
      <c r="I245" s="41"/>
      <c r="J245" s="41"/>
      <c r="L245" s="28" t="str">
        <f t="shared" si="3"/>
        <v/>
      </c>
    </row>
    <row r="246" spans="2:12" x14ac:dyDescent="0.15">
      <c r="B246" s="41" t="str">
        <f>IF(ISERROR(VLOOKUP($A246,通讯录!$A:$M,3,FALSE)&amp;""),"",VLOOKUP($A246,通讯录!$A:$M,3,FALSE)&amp;"")</f>
        <v/>
      </c>
      <c r="C246" s="41" t="str">
        <f>IF(ISERROR(VLOOKUP($A246,通讯录!$A:$M,7,FALSE)&amp;""),"",VLOOKUP($A246,通讯录!$A:$M,7,FALSE)&amp;"")</f>
        <v/>
      </c>
      <c r="D246" s="41" t="str">
        <f>IF(ISERROR(VLOOKUP($A246,通讯录!$A:$M,5,FALSE)&amp;""),"",VLOOKUP($A246,通讯录!$A:$M,5,FALSE)&amp;"")</f>
        <v/>
      </c>
      <c r="E246" s="41" t="str">
        <f>IF(ISERROR(VLOOKUP($A246,通讯录!$A:$M,6,FALSE)&amp;""),"",VLOOKUP($A246,通讯录!$A:$M,6,FALSE)&amp;"")</f>
        <v/>
      </c>
      <c r="F246" s="41" t="str">
        <f>IF(ISERROR(VLOOKUP($A246,通讯录!$A:$M,4,FALSE)&amp;""),"",VLOOKUP($A246,通讯录!$A:$M,4,FALSE)&amp;"")</f>
        <v/>
      </c>
      <c r="G246" s="41" t="str">
        <f>IF(ISERROR(VLOOKUP($A246,通讯录!$A:$M,8,FALSE)&amp;""),"",VLOOKUP($A246,通讯录!$A:$M,8,FALSE)&amp;"")</f>
        <v/>
      </c>
      <c r="H246" s="41"/>
      <c r="I246" s="41"/>
      <c r="J246" s="41"/>
      <c r="L246" s="28" t="str">
        <f t="shared" si="3"/>
        <v/>
      </c>
    </row>
    <row r="247" spans="2:12" x14ac:dyDescent="0.15">
      <c r="B247" s="41" t="str">
        <f>IF(ISERROR(VLOOKUP($A247,通讯录!$A:$M,3,FALSE)&amp;""),"",VLOOKUP($A247,通讯录!$A:$M,3,FALSE)&amp;"")</f>
        <v/>
      </c>
      <c r="C247" s="41" t="str">
        <f>IF(ISERROR(VLOOKUP($A247,通讯录!$A:$M,7,FALSE)&amp;""),"",VLOOKUP($A247,通讯录!$A:$M,7,FALSE)&amp;"")</f>
        <v/>
      </c>
      <c r="D247" s="41" t="str">
        <f>IF(ISERROR(VLOOKUP($A247,通讯录!$A:$M,5,FALSE)&amp;""),"",VLOOKUP($A247,通讯录!$A:$M,5,FALSE)&amp;"")</f>
        <v/>
      </c>
      <c r="E247" s="41" t="str">
        <f>IF(ISERROR(VLOOKUP($A247,通讯录!$A:$M,6,FALSE)&amp;""),"",VLOOKUP($A247,通讯录!$A:$M,6,FALSE)&amp;"")</f>
        <v/>
      </c>
      <c r="F247" s="41" t="str">
        <f>IF(ISERROR(VLOOKUP($A247,通讯录!$A:$M,4,FALSE)&amp;""),"",VLOOKUP($A247,通讯录!$A:$M,4,FALSE)&amp;"")</f>
        <v/>
      </c>
      <c r="G247" s="41" t="str">
        <f>IF(ISERROR(VLOOKUP($A247,通讯录!$A:$M,8,FALSE)&amp;""),"",VLOOKUP($A247,通讯录!$A:$M,8,FALSE)&amp;"")</f>
        <v/>
      </c>
      <c r="H247" s="41"/>
      <c r="I247" s="41"/>
      <c r="J247" s="41"/>
      <c r="L247" s="28" t="str">
        <f t="shared" si="3"/>
        <v/>
      </c>
    </row>
    <row r="248" spans="2:12" x14ac:dyDescent="0.15">
      <c r="B248" s="41" t="str">
        <f>IF(ISERROR(VLOOKUP($A248,通讯录!$A:$M,3,FALSE)&amp;""),"",VLOOKUP($A248,通讯录!$A:$M,3,FALSE)&amp;"")</f>
        <v/>
      </c>
      <c r="C248" s="41" t="str">
        <f>IF(ISERROR(VLOOKUP($A248,通讯录!$A:$M,7,FALSE)&amp;""),"",VLOOKUP($A248,通讯录!$A:$M,7,FALSE)&amp;"")</f>
        <v/>
      </c>
      <c r="D248" s="41" t="str">
        <f>IF(ISERROR(VLOOKUP($A248,通讯录!$A:$M,5,FALSE)&amp;""),"",VLOOKUP($A248,通讯录!$A:$M,5,FALSE)&amp;"")</f>
        <v/>
      </c>
      <c r="E248" s="41" t="str">
        <f>IF(ISERROR(VLOOKUP($A248,通讯录!$A:$M,6,FALSE)&amp;""),"",VLOOKUP($A248,通讯录!$A:$M,6,FALSE)&amp;"")</f>
        <v/>
      </c>
      <c r="F248" s="41" t="str">
        <f>IF(ISERROR(VLOOKUP($A248,通讯录!$A:$M,4,FALSE)&amp;""),"",VLOOKUP($A248,通讯录!$A:$M,4,FALSE)&amp;"")</f>
        <v/>
      </c>
      <c r="G248" s="41" t="str">
        <f>IF(ISERROR(VLOOKUP($A248,通讯录!$A:$M,8,FALSE)&amp;""),"",VLOOKUP($A248,通讯录!$A:$M,8,FALSE)&amp;"")</f>
        <v/>
      </c>
      <c r="H248" s="41"/>
      <c r="I248" s="41"/>
      <c r="J248" s="41"/>
      <c r="L248" s="28" t="str">
        <f t="shared" si="3"/>
        <v/>
      </c>
    </row>
    <row r="249" spans="2:12" x14ac:dyDescent="0.15">
      <c r="B249" s="41" t="str">
        <f>IF(ISERROR(VLOOKUP($A249,通讯录!$A:$M,3,FALSE)&amp;""),"",VLOOKUP($A249,通讯录!$A:$M,3,FALSE)&amp;"")</f>
        <v/>
      </c>
      <c r="C249" s="41" t="str">
        <f>IF(ISERROR(VLOOKUP($A249,通讯录!$A:$M,7,FALSE)&amp;""),"",VLOOKUP($A249,通讯录!$A:$M,7,FALSE)&amp;"")</f>
        <v/>
      </c>
      <c r="D249" s="41" t="str">
        <f>IF(ISERROR(VLOOKUP($A249,通讯录!$A:$M,5,FALSE)&amp;""),"",VLOOKUP($A249,通讯录!$A:$M,5,FALSE)&amp;"")</f>
        <v/>
      </c>
      <c r="E249" s="41" t="str">
        <f>IF(ISERROR(VLOOKUP($A249,通讯录!$A:$M,6,FALSE)&amp;""),"",VLOOKUP($A249,通讯录!$A:$M,6,FALSE)&amp;"")</f>
        <v/>
      </c>
      <c r="F249" s="41" t="str">
        <f>IF(ISERROR(VLOOKUP($A249,通讯录!$A:$M,4,FALSE)&amp;""),"",VLOOKUP($A249,通讯录!$A:$M,4,FALSE)&amp;"")</f>
        <v/>
      </c>
      <c r="G249" s="41" t="str">
        <f>IF(ISERROR(VLOOKUP($A249,通讯录!$A:$M,8,FALSE)&amp;""),"",VLOOKUP($A249,通讯录!$A:$M,8,FALSE)&amp;"")</f>
        <v/>
      </c>
      <c r="H249" s="41"/>
      <c r="I249" s="41"/>
      <c r="J249" s="41"/>
      <c r="L249" s="28" t="str">
        <f t="shared" si="3"/>
        <v/>
      </c>
    </row>
    <row r="250" spans="2:12" x14ac:dyDescent="0.15">
      <c r="B250" s="41" t="str">
        <f>IF(ISERROR(VLOOKUP($A250,通讯录!$A:$M,3,FALSE)&amp;""),"",VLOOKUP($A250,通讯录!$A:$M,3,FALSE)&amp;"")</f>
        <v/>
      </c>
      <c r="C250" s="41" t="str">
        <f>IF(ISERROR(VLOOKUP($A250,通讯录!$A:$M,7,FALSE)&amp;""),"",VLOOKUP($A250,通讯录!$A:$M,7,FALSE)&amp;"")</f>
        <v/>
      </c>
      <c r="D250" s="41" t="str">
        <f>IF(ISERROR(VLOOKUP($A250,通讯录!$A:$M,5,FALSE)&amp;""),"",VLOOKUP($A250,通讯录!$A:$M,5,FALSE)&amp;"")</f>
        <v/>
      </c>
      <c r="E250" s="41" t="str">
        <f>IF(ISERROR(VLOOKUP($A250,通讯录!$A:$M,6,FALSE)&amp;""),"",VLOOKUP($A250,通讯录!$A:$M,6,FALSE)&amp;"")</f>
        <v/>
      </c>
      <c r="F250" s="41" t="str">
        <f>IF(ISERROR(VLOOKUP($A250,通讯录!$A:$M,4,FALSE)&amp;""),"",VLOOKUP($A250,通讯录!$A:$M,4,FALSE)&amp;"")</f>
        <v/>
      </c>
      <c r="G250" s="41" t="str">
        <f>IF(ISERROR(VLOOKUP($A250,通讯录!$A:$M,8,FALSE)&amp;""),"",VLOOKUP($A250,通讯录!$A:$M,8,FALSE)&amp;"")</f>
        <v/>
      </c>
      <c r="H250" s="41"/>
      <c r="I250" s="41"/>
      <c r="J250" s="41"/>
      <c r="L250" s="28" t="str">
        <f t="shared" si="3"/>
        <v/>
      </c>
    </row>
    <row r="251" spans="2:12" x14ac:dyDescent="0.15">
      <c r="B251" s="41" t="str">
        <f>IF(ISERROR(VLOOKUP($A251,通讯录!$A:$M,3,FALSE)&amp;""),"",VLOOKUP($A251,通讯录!$A:$M,3,FALSE)&amp;"")</f>
        <v/>
      </c>
      <c r="C251" s="41" t="str">
        <f>IF(ISERROR(VLOOKUP($A251,通讯录!$A:$M,7,FALSE)&amp;""),"",VLOOKUP($A251,通讯录!$A:$M,7,FALSE)&amp;"")</f>
        <v/>
      </c>
      <c r="D251" s="41" t="str">
        <f>IF(ISERROR(VLOOKUP($A251,通讯录!$A:$M,5,FALSE)&amp;""),"",VLOOKUP($A251,通讯录!$A:$M,5,FALSE)&amp;"")</f>
        <v/>
      </c>
      <c r="E251" s="41" t="str">
        <f>IF(ISERROR(VLOOKUP($A251,通讯录!$A:$M,6,FALSE)&amp;""),"",VLOOKUP($A251,通讯录!$A:$M,6,FALSE)&amp;"")</f>
        <v/>
      </c>
      <c r="F251" s="41" t="str">
        <f>IF(ISERROR(VLOOKUP($A251,通讯录!$A:$M,4,FALSE)&amp;""),"",VLOOKUP($A251,通讯录!$A:$M,4,FALSE)&amp;"")</f>
        <v/>
      </c>
      <c r="G251" s="41" t="str">
        <f>IF(ISERROR(VLOOKUP($A251,通讯录!$A:$M,8,FALSE)&amp;""),"",VLOOKUP($A251,通讯录!$A:$M,8,FALSE)&amp;"")</f>
        <v/>
      </c>
      <c r="H251" s="41"/>
      <c r="I251" s="41"/>
      <c r="J251" s="41"/>
      <c r="L251" s="28" t="str">
        <f t="shared" si="3"/>
        <v/>
      </c>
    </row>
    <row r="252" spans="2:12" x14ac:dyDescent="0.15">
      <c r="B252" s="41" t="str">
        <f>IF(ISERROR(VLOOKUP($A252,通讯录!$A:$M,3,FALSE)&amp;""),"",VLOOKUP($A252,通讯录!$A:$M,3,FALSE)&amp;"")</f>
        <v/>
      </c>
      <c r="C252" s="41" t="str">
        <f>IF(ISERROR(VLOOKUP($A252,通讯录!$A:$M,7,FALSE)&amp;""),"",VLOOKUP($A252,通讯录!$A:$M,7,FALSE)&amp;"")</f>
        <v/>
      </c>
      <c r="D252" s="41" t="str">
        <f>IF(ISERROR(VLOOKUP($A252,通讯录!$A:$M,5,FALSE)&amp;""),"",VLOOKUP($A252,通讯录!$A:$M,5,FALSE)&amp;"")</f>
        <v/>
      </c>
      <c r="E252" s="41" t="str">
        <f>IF(ISERROR(VLOOKUP($A252,通讯录!$A:$M,6,FALSE)&amp;""),"",VLOOKUP($A252,通讯录!$A:$M,6,FALSE)&amp;"")</f>
        <v/>
      </c>
      <c r="F252" s="41" t="str">
        <f>IF(ISERROR(VLOOKUP($A252,通讯录!$A:$M,4,FALSE)&amp;""),"",VLOOKUP($A252,通讯录!$A:$M,4,FALSE)&amp;"")</f>
        <v/>
      </c>
      <c r="G252" s="41" t="str">
        <f>IF(ISERROR(VLOOKUP($A252,通讯录!$A:$M,8,FALSE)&amp;""),"",VLOOKUP($A252,通讯录!$A:$M,8,FALSE)&amp;"")</f>
        <v/>
      </c>
      <c r="H252" s="41"/>
      <c r="I252" s="41"/>
      <c r="J252" s="41"/>
      <c r="L252" s="28" t="str">
        <f t="shared" si="3"/>
        <v/>
      </c>
    </row>
    <row r="253" spans="2:12" x14ac:dyDescent="0.15">
      <c r="B253" s="41" t="str">
        <f>IF(ISERROR(VLOOKUP($A253,通讯录!$A:$M,3,FALSE)&amp;""),"",VLOOKUP($A253,通讯录!$A:$M,3,FALSE)&amp;"")</f>
        <v/>
      </c>
      <c r="C253" s="41" t="str">
        <f>IF(ISERROR(VLOOKUP($A253,通讯录!$A:$M,7,FALSE)&amp;""),"",VLOOKUP($A253,通讯录!$A:$M,7,FALSE)&amp;"")</f>
        <v/>
      </c>
      <c r="D253" s="41" t="str">
        <f>IF(ISERROR(VLOOKUP($A253,通讯录!$A:$M,5,FALSE)&amp;""),"",VLOOKUP($A253,通讯录!$A:$M,5,FALSE)&amp;"")</f>
        <v/>
      </c>
      <c r="E253" s="41" t="str">
        <f>IF(ISERROR(VLOOKUP($A253,通讯录!$A:$M,6,FALSE)&amp;""),"",VLOOKUP($A253,通讯录!$A:$M,6,FALSE)&amp;"")</f>
        <v/>
      </c>
      <c r="F253" s="41" t="str">
        <f>IF(ISERROR(VLOOKUP($A253,通讯录!$A:$M,4,FALSE)&amp;""),"",VLOOKUP($A253,通讯录!$A:$M,4,FALSE)&amp;"")</f>
        <v/>
      </c>
      <c r="G253" s="41" t="str">
        <f>IF(ISERROR(VLOOKUP($A253,通讯录!$A:$M,8,FALSE)&amp;""),"",VLOOKUP($A253,通讯录!$A:$M,8,FALSE)&amp;"")</f>
        <v/>
      </c>
      <c r="H253" s="41"/>
      <c r="I253" s="41"/>
      <c r="J253" s="41"/>
      <c r="L253" s="28" t="str">
        <f t="shared" si="3"/>
        <v/>
      </c>
    </row>
    <row r="254" spans="2:12" x14ac:dyDescent="0.15">
      <c r="B254" s="41" t="str">
        <f>IF(ISERROR(VLOOKUP($A254,通讯录!$A:$M,3,FALSE)&amp;""),"",VLOOKUP($A254,通讯录!$A:$M,3,FALSE)&amp;"")</f>
        <v/>
      </c>
      <c r="C254" s="41" t="str">
        <f>IF(ISERROR(VLOOKUP($A254,通讯录!$A:$M,7,FALSE)&amp;""),"",VLOOKUP($A254,通讯录!$A:$M,7,FALSE)&amp;"")</f>
        <v/>
      </c>
      <c r="D254" s="41" t="str">
        <f>IF(ISERROR(VLOOKUP($A254,通讯录!$A:$M,5,FALSE)&amp;""),"",VLOOKUP($A254,通讯录!$A:$M,5,FALSE)&amp;"")</f>
        <v/>
      </c>
      <c r="E254" s="41" t="str">
        <f>IF(ISERROR(VLOOKUP($A254,通讯录!$A:$M,6,FALSE)&amp;""),"",VLOOKUP($A254,通讯录!$A:$M,6,FALSE)&amp;"")</f>
        <v/>
      </c>
      <c r="F254" s="41" t="str">
        <f>IF(ISERROR(VLOOKUP($A254,通讯录!$A:$M,4,FALSE)&amp;""),"",VLOOKUP($A254,通讯录!$A:$M,4,FALSE)&amp;"")</f>
        <v/>
      </c>
      <c r="G254" s="41" t="str">
        <f>IF(ISERROR(VLOOKUP($A254,通讯录!$A:$M,8,FALSE)&amp;""),"",VLOOKUP($A254,通讯录!$A:$M,8,FALSE)&amp;"")</f>
        <v/>
      </c>
      <c r="H254" s="41"/>
      <c r="I254" s="41"/>
      <c r="J254" s="41"/>
      <c r="L254" s="28" t="str">
        <f t="shared" si="3"/>
        <v/>
      </c>
    </row>
    <row r="255" spans="2:12" x14ac:dyDescent="0.15">
      <c r="B255" s="41" t="str">
        <f>IF(ISERROR(VLOOKUP($A255,通讯录!$A:$M,3,FALSE)&amp;""),"",VLOOKUP($A255,通讯录!$A:$M,3,FALSE)&amp;"")</f>
        <v/>
      </c>
      <c r="C255" s="41" t="str">
        <f>IF(ISERROR(VLOOKUP($A255,通讯录!$A:$M,7,FALSE)&amp;""),"",VLOOKUP($A255,通讯录!$A:$M,7,FALSE)&amp;"")</f>
        <v/>
      </c>
      <c r="D255" s="41" t="str">
        <f>IF(ISERROR(VLOOKUP($A255,通讯录!$A:$M,5,FALSE)&amp;""),"",VLOOKUP($A255,通讯录!$A:$M,5,FALSE)&amp;"")</f>
        <v/>
      </c>
      <c r="E255" s="41" t="str">
        <f>IF(ISERROR(VLOOKUP($A255,通讯录!$A:$M,6,FALSE)&amp;""),"",VLOOKUP($A255,通讯录!$A:$M,6,FALSE)&amp;"")</f>
        <v/>
      </c>
      <c r="F255" s="41" t="str">
        <f>IF(ISERROR(VLOOKUP($A255,通讯录!$A:$M,4,FALSE)&amp;""),"",VLOOKUP($A255,通讯录!$A:$M,4,FALSE)&amp;"")</f>
        <v/>
      </c>
      <c r="G255" s="41" t="str">
        <f>IF(ISERROR(VLOOKUP($A255,通讯录!$A:$M,8,FALSE)&amp;""),"",VLOOKUP($A255,通讯录!$A:$M,8,FALSE)&amp;"")</f>
        <v/>
      </c>
      <c r="H255" s="41"/>
      <c r="I255" s="41"/>
      <c r="J255" s="41"/>
      <c r="L255" s="28" t="str">
        <f t="shared" si="3"/>
        <v/>
      </c>
    </row>
    <row r="256" spans="2:12" x14ac:dyDescent="0.15">
      <c r="B256" s="41" t="str">
        <f>IF(ISERROR(VLOOKUP($A256,通讯录!$A:$M,3,FALSE)&amp;""),"",VLOOKUP($A256,通讯录!$A:$M,3,FALSE)&amp;"")</f>
        <v/>
      </c>
      <c r="C256" s="41" t="str">
        <f>IF(ISERROR(VLOOKUP($A256,通讯录!$A:$M,7,FALSE)&amp;""),"",VLOOKUP($A256,通讯录!$A:$M,7,FALSE)&amp;"")</f>
        <v/>
      </c>
      <c r="D256" s="41" t="str">
        <f>IF(ISERROR(VLOOKUP($A256,通讯录!$A:$M,5,FALSE)&amp;""),"",VLOOKUP($A256,通讯录!$A:$M,5,FALSE)&amp;"")</f>
        <v/>
      </c>
      <c r="E256" s="41" t="str">
        <f>IF(ISERROR(VLOOKUP($A256,通讯录!$A:$M,6,FALSE)&amp;""),"",VLOOKUP($A256,通讯录!$A:$M,6,FALSE)&amp;"")</f>
        <v/>
      </c>
      <c r="F256" s="41" t="str">
        <f>IF(ISERROR(VLOOKUP($A256,通讯录!$A:$M,4,FALSE)&amp;""),"",VLOOKUP($A256,通讯录!$A:$M,4,FALSE)&amp;"")</f>
        <v/>
      </c>
      <c r="G256" s="41" t="str">
        <f>IF(ISERROR(VLOOKUP($A256,通讯录!$A:$M,8,FALSE)&amp;""),"",VLOOKUP($A256,通讯录!$A:$M,8,FALSE)&amp;"")</f>
        <v/>
      </c>
      <c r="H256" s="41"/>
      <c r="I256" s="41"/>
      <c r="J256" s="41"/>
      <c r="L256" s="28" t="str">
        <f t="shared" si="3"/>
        <v/>
      </c>
    </row>
    <row r="257" spans="2:12" x14ac:dyDescent="0.15">
      <c r="B257" s="41" t="str">
        <f>IF(ISERROR(VLOOKUP($A257,通讯录!$A:$M,3,FALSE)&amp;""),"",VLOOKUP($A257,通讯录!$A:$M,3,FALSE)&amp;"")</f>
        <v/>
      </c>
      <c r="C257" s="41" t="str">
        <f>IF(ISERROR(VLOOKUP($A257,通讯录!$A:$M,7,FALSE)&amp;""),"",VLOOKUP($A257,通讯录!$A:$M,7,FALSE)&amp;"")</f>
        <v/>
      </c>
      <c r="D257" s="41" t="str">
        <f>IF(ISERROR(VLOOKUP($A257,通讯录!$A:$M,5,FALSE)&amp;""),"",VLOOKUP($A257,通讯录!$A:$M,5,FALSE)&amp;"")</f>
        <v/>
      </c>
      <c r="E257" s="41" t="str">
        <f>IF(ISERROR(VLOOKUP($A257,通讯录!$A:$M,6,FALSE)&amp;""),"",VLOOKUP($A257,通讯录!$A:$M,6,FALSE)&amp;"")</f>
        <v/>
      </c>
      <c r="F257" s="41" t="str">
        <f>IF(ISERROR(VLOOKUP($A257,通讯录!$A:$M,4,FALSE)&amp;""),"",VLOOKUP($A257,通讯录!$A:$M,4,FALSE)&amp;"")</f>
        <v/>
      </c>
      <c r="G257" s="41" t="str">
        <f>IF(ISERROR(VLOOKUP($A257,通讯录!$A:$M,8,FALSE)&amp;""),"",VLOOKUP($A257,通讯录!$A:$M,8,FALSE)&amp;"")</f>
        <v/>
      </c>
      <c r="H257" s="41"/>
      <c r="I257" s="41"/>
      <c r="J257" s="41"/>
      <c r="L257" s="28" t="str">
        <f t="shared" si="3"/>
        <v/>
      </c>
    </row>
    <row r="258" spans="2:12" x14ac:dyDescent="0.15">
      <c r="B258" s="41" t="str">
        <f>IF(ISERROR(VLOOKUP($A258,通讯录!$A:$M,3,FALSE)&amp;""),"",VLOOKUP($A258,通讯录!$A:$M,3,FALSE)&amp;"")</f>
        <v/>
      </c>
      <c r="C258" s="41" t="str">
        <f>IF(ISERROR(VLOOKUP($A258,通讯录!$A:$M,7,FALSE)&amp;""),"",VLOOKUP($A258,通讯录!$A:$M,7,FALSE)&amp;"")</f>
        <v/>
      </c>
      <c r="D258" s="41" t="str">
        <f>IF(ISERROR(VLOOKUP($A258,通讯录!$A:$M,5,FALSE)&amp;""),"",VLOOKUP($A258,通讯录!$A:$M,5,FALSE)&amp;"")</f>
        <v/>
      </c>
      <c r="E258" s="41" t="str">
        <f>IF(ISERROR(VLOOKUP($A258,通讯录!$A:$M,6,FALSE)&amp;""),"",VLOOKUP($A258,通讯录!$A:$M,6,FALSE)&amp;"")</f>
        <v/>
      </c>
      <c r="F258" s="41" t="str">
        <f>IF(ISERROR(VLOOKUP($A258,通讯录!$A:$M,4,FALSE)&amp;""),"",VLOOKUP($A258,通讯录!$A:$M,4,FALSE)&amp;"")</f>
        <v/>
      </c>
      <c r="G258" s="41" t="str">
        <f>IF(ISERROR(VLOOKUP($A258,通讯录!$A:$M,8,FALSE)&amp;""),"",VLOOKUP($A258,通讯录!$A:$M,8,FALSE)&amp;"")</f>
        <v/>
      </c>
      <c r="H258" s="41"/>
      <c r="I258" s="41"/>
      <c r="J258" s="41"/>
      <c r="L258" s="28" t="str">
        <f t="shared" si="3"/>
        <v/>
      </c>
    </row>
    <row r="259" spans="2:12" x14ac:dyDescent="0.15">
      <c r="B259" s="41" t="str">
        <f>IF(ISERROR(VLOOKUP($A259,通讯录!$A:$M,3,FALSE)&amp;""),"",VLOOKUP($A259,通讯录!$A:$M,3,FALSE)&amp;"")</f>
        <v/>
      </c>
      <c r="C259" s="41" t="str">
        <f>IF(ISERROR(VLOOKUP($A259,通讯录!$A:$M,7,FALSE)&amp;""),"",VLOOKUP($A259,通讯录!$A:$M,7,FALSE)&amp;"")</f>
        <v/>
      </c>
      <c r="D259" s="41" t="str">
        <f>IF(ISERROR(VLOOKUP($A259,通讯录!$A:$M,5,FALSE)&amp;""),"",VLOOKUP($A259,通讯录!$A:$M,5,FALSE)&amp;"")</f>
        <v/>
      </c>
      <c r="E259" s="41" t="str">
        <f>IF(ISERROR(VLOOKUP($A259,通讯录!$A:$M,6,FALSE)&amp;""),"",VLOOKUP($A259,通讯录!$A:$M,6,FALSE)&amp;"")</f>
        <v/>
      </c>
      <c r="F259" s="41" t="str">
        <f>IF(ISERROR(VLOOKUP($A259,通讯录!$A:$M,4,FALSE)&amp;""),"",VLOOKUP($A259,通讯录!$A:$M,4,FALSE)&amp;"")</f>
        <v/>
      </c>
      <c r="G259" s="41" t="str">
        <f>IF(ISERROR(VLOOKUP($A259,通讯录!$A:$M,8,FALSE)&amp;""),"",VLOOKUP($A259,通讯录!$A:$M,8,FALSE)&amp;"")</f>
        <v/>
      </c>
      <c r="H259" s="41"/>
      <c r="I259" s="41"/>
      <c r="J259" s="41"/>
      <c r="L259" s="28" t="str">
        <f t="shared" si="3"/>
        <v/>
      </c>
    </row>
    <row r="260" spans="2:12" x14ac:dyDescent="0.15">
      <c r="B260" s="41" t="str">
        <f>IF(ISERROR(VLOOKUP($A260,通讯录!$A:$M,3,FALSE)&amp;""),"",VLOOKUP($A260,通讯录!$A:$M,3,FALSE)&amp;"")</f>
        <v/>
      </c>
      <c r="C260" s="41" t="str">
        <f>IF(ISERROR(VLOOKUP($A260,通讯录!$A:$M,7,FALSE)&amp;""),"",VLOOKUP($A260,通讯录!$A:$M,7,FALSE)&amp;"")</f>
        <v/>
      </c>
      <c r="D260" s="41" t="str">
        <f>IF(ISERROR(VLOOKUP($A260,通讯录!$A:$M,5,FALSE)&amp;""),"",VLOOKUP($A260,通讯录!$A:$M,5,FALSE)&amp;"")</f>
        <v/>
      </c>
      <c r="E260" s="41" t="str">
        <f>IF(ISERROR(VLOOKUP($A260,通讯录!$A:$M,6,FALSE)&amp;""),"",VLOOKUP($A260,通讯录!$A:$M,6,FALSE)&amp;"")</f>
        <v/>
      </c>
      <c r="F260" s="41" t="str">
        <f>IF(ISERROR(VLOOKUP($A260,通讯录!$A:$M,4,FALSE)&amp;""),"",VLOOKUP($A260,通讯录!$A:$M,4,FALSE)&amp;"")</f>
        <v/>
      </c>
      <c r="G260" s="41" t="str">
        <f>IF(ISERROR(VLOOKUP($A260,通讯录!$A:$M,8,FALSE)&amp;""),"",VLOOKUP($A260,通讯录!$A:$M,8,FALSE)&amp;"")</f>
        <v/>
      </c>
      <c r="H260" s="41"/>
      <c r="I260" s="41"/>
      <c r="J260" s="41"/>
      <c r="L260" s="28" t="str">
        <f t="shared" si="3"/>
        <v/>
      </c>
    </row>
    <row r="261" spans="2:12" x14ac:dyDescent="0.15">
      <c r="B261" s="41" t="str">
        <f>IF(ISERROR(VLOOKUP($A261,通讯录!$A:$M,3,FALSE)&amp;""),"",VLOOKUP($A261,通讯录!$A:$M,3,FALSE)&amp;"")</f>
        <v/>
      </c>
      <c r="C261" s="41" t="str">
        <f>IF(ISERROR(VLOOKUP($A261,通讯录!$A:$M,7,FALSE)&amp;""),"",VLOOKUP($A261,通讯录!$A:$M,7,FALSE)&amp;"")</f>
        <v/>
      </c>
      <c r="D261" s="41" t="str">
        <f>IF(ISERROR(VLOOKUP($A261,通讯录!$A:$M,5,FALSE)&amp;""),"",VLOOKUP($A261,通讯录!$A:$M,5,FALSE)&amp;"")</f>
        <v/>
      </c>
      <c r="E261" s="41" t="str">
        <f>IF(ISERROR(VLOOKUP($A261,通讯录!$A:$M,6,FALSE)&amp;""),"",VLOOKUP($A261,通讯录!$A:$M,6,FALSE)&amp;"")</f>
        <v/>
      </c>
      <c r="F261" s="41" t="str">
        <f>IF(ISERROR(VLOOKUP($A261,通讯录!$A:$M,4,FALSE)&amp;""),"",VLOOKUP($A261,通讯录!$A:$M,4,FALSE)&amp;"")</f>
        <v/>
      </c>
      <c r="G261" s="41" t="str">
        <f>IF(ISERROR(VLOOKUP($A261,通讯录!$A:$M,8,FALSE)&amp;""),"",VLOOKUP($A261,通讯录!$A:$M,8,FALSE)&amp;"")</f>
        <v/>
      </c>
      <c r="H261" s="41"/>
      <c r="I261" s="41"/>
      <c r="J261" s="41"/>
      <c r="L261" s="28" t="str">
        <f t="shared" si="3"/>
        <v/>
      </c>
    </row>
    <row r="262" spans="2:12" x14ac:dyDescent="0.15">
      <c r="B262" s="41" t="str">
        <f>IF(ISERROR(VLOOKUP($A262,通讯录!$A:$M,3,FALSE)&amp;""),"",VLOOKUP($A262,通讯录!$A:$M,3,FALSE)&amp;"")</f>
        <v/>
      </c>
      <c r="C262" s="41" t="str">
        <f>IF(ISERROR(VLOOKUP($A262,通讯录!$A:$M,7,FALSE)&amp;""),"",VLOOKUP($A262,通讯录!$A:$M,7,FALSE)&amp;"")</f>
        <v/>
      </c>
      <c r="D262" s="41" t="str">
        <f>IF(ISERROR(VLOOKUP($A262,通讯录!$A:$M,5,FALSE)&amp;""),"",VLOOKUP($A262,通讯录!$A:$M,5,FALSE)&amp;"")</f>
        <v/>
      </c>
      <c r="E262" s="41" t="str">
        <f>IF(ISERROR(VLOOKUP($A262,通讯录!$A:$M,6,FALSE)&amp;""),"",VLOOKUP($A262,通讯录!$A:$M,6,FALSE)&amp;"")</f>
        <v/>
      </c>
      <c r="F262" s="41" t="str">
        <f>IF(ISERROR(VLOOKUP($A262,通讯录!$A:$M,4,FALSE)&amp;""),"",VLOOKUP($A262,通讯录!$A:$M,4,FALSE)&amp;"")</f>
        <v/>
      </c>
      <c r="G262" s="41" t="str">
        <f>IF(ISERROR(VLOOKUP($A262,通讯录!$A:$M,8,FALSE)&amp;""),"",VLOOKUP($A262,通讯录!$A:$M,8,FALSE)&amp;"")</f>
        <v/>
      </c>
      <c r="H262" s="41"/>
      <c r="I262" s="41"/>
      <c r="J262" s="41"/>
      <c r="L262" s="28" t="str">
        <f t="shared" si="3"/>
        <v/>
      </c>
    </row>
    <row r="263" spans="2:12" x14ac:dyDescent="0.15">
      <c r="B263" s="41" t="str">
        <f>IF(ISERROR(VLOOKUP($A263,通讯录!$A:$M,3,FALSE)&amp;""),"",VLOOKUP($A263,通讯录!$A:$M,3,FALSE)&amp;"")</f>
        <v/>
      </c>
      <c r="C263" s="41" t="str">
        <f>IF(ISERROR(VLOOKUP($A263,通讯录!$A:$M,7,FALSE)&amp;""),"",VLOOKUP($A263,通讯录!$A:$M,7,FALSE)&amp;"")</f>
        <v/>
      </c>
      <c r="D263" s="41" t="str">
        <f>IF(ISERROR(VLOOKUP($A263,通讯录!$A:$M,5,FALSE)&amp;""),"",VLOOKUP($A263,通讯录!$A:$M,5,FALSE)&amp;"")</f>
        <v/>
      </c>
      <c r="E263" s="41" t="str">
        <f>IF(ISERROR(VLOOKUP($A263,通讯录!$A:$M,6,FALSE)&amp;""),"",VLOOKUP($A263,通讯录!$A:$M,6,FALSE)&amp;"")</f>
        <v/>
      </c>
      <c r="F263" s="41" t="str">
        <f>IF(ISERROR(VLOOKUP($A263,通讯录!$A:$M,4,FALSE)&amp;""),"",VLOOKUP($A263,通讯录!$A:$M,4,FALSE)&amp;"")</f>
        <v/>
      </c>
      <c r="G263" s="41" t="str">
        <f>IF(ISERROR(VLOOKUP($A263,通讯录!$A:$M,8,FALSE)&amp;""),"",VLOOKUP($A263,通讯录!$A:$M,8,FALSE)&amp;"")</f>
        <v/>
      </c>
      <c r="H263" s="41"/>
      <c r="I263" s="41"/>
      <c r="J263" s="41"/>
      <c r="L263" s="28" t="str">
        <f t="shared" si="3"/>
        <v/>
      </c>
    </row>
    <row r="264" spans="2:12" x14ac:dyDescent="0.15">
      <c r="B264" s="41" t="str">
        <f>IF(ISERROR(VLOOKUP($A264,通讯录!$A:$M,3,FALSE)&amp;""),"",VLOOKUP($A264,通讯录!$A:$M,3,FALSE)&amp;"")</f>
        <v/>
      </c>
      <c r="C264" s="41" t="str">
        <f>IF(ISERROR(VLOOKUP($A264,通讯录!$A:$M,7,FALSE)&amp;""),"",VLOOKUP($A264,通讯录!$A:$M,7,FALSE)&amp;"")</f>
        <v/>
      </c>
      <c r="D264" s="41" t="str">
        <f>IF(ISERROR(VLOOKUP($A264,通讯录!$A:$M,5,FALSE)&amp;""),"",VLOOKUP($A264,通讯录!$A:$M,5,FALSE)&amp;"")</f>
        <v/>
      </c>
      <c r="E264" s="41" t="str">
        <f>IF(ISERROR(VLOOKUP($A264,通讯录!$A:$M,6,FALSE)&amp;""),"",VLOOKUP($A264,通讯录!$A:$M,6,FALSE)&amp;"")</f>
        <v/>
      </c>
      <c r="F264" s="41" t="str">
        <f>IF(ISERROR(VLOOKUP($A264,通讯录!$A:$M,4,FALSE)&amp;""),"",VLOOKUP($A264,通讯录!$A:$M,4,FALSE)&amp;"")</f>
        <v/>
      </c>
      <c r="G264" s="41" t="str">
        <f>IF(ISERROR(VLOOKUP($A264,通讯录!$A:$M,8,FALSE)&amp;""),"",VLOOKUP($A264,通讯录!$A:$M,8,FALSE)&amp;"")</f>
        <v/>
      </c>
      <c r="H264" s="41"/>
      <c r="I264" s="41"/>
      <c r="J264" s="41"/>
      <c r="L264" s="28" t="str">
        <f t="shared" si="3"/>
        <v/>
      </c>
    </row>
    <row r="265" spans="2:12" x14ac:dyDescent="0.15">
      <c r="B265" s="41" t="str">
        <f>IF(ISERROR(VLOOKUP($A265,通讯录!$A:$M,3,FALSE)&amp;""),"",VLOOKUP($A265,通讯录!$A:$M,3,FALSE)&amp;"")</f>
        <v/>
      </c>
      <c r="C265" s="41" t="str">
        <f>IF(ISERROR(VLOOKUP($A265,通讯录!$A:$M,7,FALSE)&amp;""),"",VLOOKUP($A265,通讯录!$A:$M,7,FALSE)&amp;"")</f>
        <v/>
      </c>
      <c r="D265" s="41" t="str">
        <f>IF(ISERROR(VLOOKUP($A265,通讯录!$A:$M,5,FALSE)&amp;""),"",VLOOKUP($A265,通讯录!$A:$M,5,FALSE)&amp;"")</f>
        <v/>
      </c>
      <c r="E265" s="41" t="str">
        <f>IF(ISERROR(VLOOKUP($A265,通讯录!$A:$M,6,FALSE)&amp;""),"",VLOOKUP($A265,通讯录!$A:$M,6,FALSE)&amp;"")</f>
        <v/>
      </c>
      <c r="F265" s="41" t="str">
        <f>IF(ISERROR(VLOOKUP($A265,通讯录!$A:$M,4,FALSE)&amp;""),"",VLOOKUP($A265,通讯录!$A:$M,4,FALSE)&amp;"")</f>
        <v/>
      </c>
      <c r="G265" s="41" t="str">
        <f>IF(ISERROR(VLOOKUP($A265,通讯录!$A:$M,8,FALSE)&amp;""),"",VLOOKUP($A265,通讯录!$A:$M,8,FALSE)&amp;"")</f>
        <v/>
      </c>
      <c r="H265" s="41"/>
      <c r="I265" s="41"/>
      <c r="J265" s="41"/>
      <c r="L265" s="28" t="str">
        <f t="shared" si="3"/>
        <v/>
      </c>
    </row>
    <row r="266" spans="2:12" x14ac:dyDescent="0.15">
      <c r="B266" s="41" t="str">
        <f>IF(ISERROR(VLOOKUP($A266,通讯录!$A:$M,3,FALSE)&amp;""),"",VLOOKUP($A266,通讯录!$A:$M,3,FALSE)&amp;"")</f>
        <v/>
      </c>
      <c r="C266" s="41" t="str">
        <f>IF(ISERROR(VLOOKUP($A266,通讯录!$A:$M,7,FALSE)&amp;""),"",VLOOKUP($A266,通讯录!$A:$M,7,FALSE)&amp;"")</f>
        <v/>
      </c>
      <c r="D266" s="41" t="str">
        <f>IF(ISERROR(VLOOKUP($A266,通讯录!$A:$M,5,FALSE)&amp;""),"",VLOOKUP($A266,通讯录!$A:$M,5,FALSE)&amp;"")</f>
        <v/>
      </c>
      <c r="E266" s="41" t="str">
        <f>IF(ISERROR(VLOOKUP($A266,通讯录!$A:$M,6,FALSE)&amp;""),"",VLOOKUP($A266,通讯录!$A:$M,6,FALSE)&amp;"")</f>
        <v/>
      </c>
      <c r="F266" s="41" t="str">
        <f>IF(ISERROR(VLOOKUP($A266,通讯录!$A:$M,4,FALSE)&amp;""),"",VLOOKUP($A266,通讯录!$A:$M,4,FALSE)&amp;"")</f>
        <v/>
      </c>
      <c r="G266" s="41" t="str">
        <f>IF(ISERROR(VLOOKUP($A266,通讯录!$A:$M,8,FALSE)&amp;""),"",VLOOKUP($A266,通讯录!$A:$M,8,FALSE)&amp;"")</f>
        <v/>
      </c>
      <c r="H266" s="41"/>
      <c r="I266" s="41"/>
      <c r="J266" s="41"/>
      <c r="L266" s="28" t="str">
        <f t="shared" si="3"/>
        <v/>
      </c>
    </row>
    <row r="267" spans="2:12" x14ac:dyDescent="0.15">
      <c r="B267" s="41" t="str">
        <f>IF(ISERROR(VLOOKUP($A267,通讯录!$A:$M,3,FALSE)&amp;""),"",VLOOKUP($A267,通讯录!$A:$M,3,FALSE)&amp;"")</f>
        <v/>
      </c>
      <c r="C267" s="41" t="str">
        <f>IF(ISERROR(VLOOKUP($A267,通讯录!$A:$M,7,FALSE)&amp;""),"",VLOOKUP($A267,通讯录!$A:$M,7,FALSE)&amp;"")</f>
        <v/>
      </c>
      <c r="D267" s="41" t="str">
        <f>IF(ISERROR(VLOOKUP($A267,通讯录!$A:$M,5,FALSE)&amp;""),"",VLOOKUP($A267,通讯录!$A:$M,5,FALSE)&amp;"")</f>
        <v/>
      </c>
      <c r="E267" s="41" t="str">
        <f>IF(ISERROR(VLOOKUP($A267,通讯录!$A:$M,6,FALSE)&amp;""),"",VLOOKUP($A267,通讯录!$A:$M,6,FALSE)&amp;"")</f>
        <v/>
      </c>
      <c r="F267" s="41" t="str">
        <f>IF(ISERROR(VLOOKUP($A267,通讯录!$A:$M,4,FALSE)&amp;""),"",VLOOKUP($A267,通讯录!$A:$M,4,FALSE)&amp;"")</f>
        <v/>
      </c>
      <c r="G267" s="41" t="str">
        <f>IF(ISERROR(VLOOKUP($A267,通讯录!$A:$M,8,FALSE)&amp;""),"",VLOOKUP($A267,通讯录!$A:$M,8,FALSE)&amp;"")</f>
        <v/>
      </c>
      <c r="H267" s="41"/>
      <c r="I267" s="41"/>
      <c r="J267" s="41"/>
      <c r="L267" s="28" t="str">
        <f t="shared" si="3"/>
        <v/>
      </c>
    </row>
    <row r="268" spans="2:12" x14ac:dyDescent="0.15">
      <c r="B268" s="41" t="str">
        <f>IF(ISERROR(VLOOKUP($A268,通讯录!$A:$M,3,FALSE)&amp;""),"",VLOOKUP($A268,通讯录!$A:$M,3,FALSE)&amp;"")</f>
        <v/>
      </c>
      <c r="C268" s="41" t="str">
        <f>IF(ISERROR(VLOOKUP($A268,通讯录!$A:$M,7,FALSE)&amp;""),"",VLOOKUP($A268,通讯录!$A:$M,7,FALSE)&amp;"")</f>
        <v/>
      </c>
      <c r="D268" s="41" t="str">
        <f>IF(ISERROR(VLOOKUP($A268,通讯录!$A:$M,5,FALSE)&amp;""),"",VLOOKUP($A268,通讯录!$A:$M,5,FALSE)&amp;"")</f>
        <v/>
      </c>
      <c r="E268" s="41" t="str">
        <f>IF(ISERROR(VLOOKUP($A268,通讯录!$A:$M,6,FALSE)&amp;""),"",VLOOKUP($A268,通讯录!$A:$M,6,FALSE)&amp;"")</f>
        <v/>
      </c>
      <c r="F268" s="41" t="str">
        <f>IF(ISERROR(VLOOKUP($A268,通讯录!$A:$M,4,FALSE)&amp;""),"",VLOOKUP($A268,通讯录!$A:$M,4,FALSE)&amp;"")</f>
        <v/>
      </c>
      <c r="G268" s="41" t="str">
        <f>IF(ISERROR(VLOOKUP($A268,通讯录!$A:$M,8,FALSE)&amp;""),"",VLOOKUP($A268,通讯录!$A:$M,8,FALSE)&amp;"")</f>
        <v/>
      </c>
      <c r="H268" s="41"/>
      <c r="I268" s="41"/>
      <c r="J268" s="41"/>
      <c r="L268" s="28" t="str">
        <f t="shared" si="3"/>
        <v/>
      </c>
    </row>
    <row r="269" spans="2:12" x14ac:dyDescent="0.15">
      <c r="B269" s="41" t="str">
        <f>IF(ISERROR(VLOOKUP($A269,通讯录!$A:$M,3,FALSE)&amp;""),"",VLOOKUP($A269,通讯录!$A:$M,3,FALSE)&amp;"")</f>
        <v/>
      </c>
      <c r="C269" s="41" t="str">
        <f>IF(ISERROR(VLOOKUP($A269,通讯录!$A:$M,7,FALSE)&amp;""),"",VLOOKUP($A269,通讯录!$A:$M,7,FALSE)&amp;"")</f>
        <v/>
      </c>
      <c r="D269" s="41" t="str">
        <f>IF(ISERROR(VLOOKUP($A269,通讯录!$A:$M,5,FALSE)&amp;""),"",VLOOKUP($A269,通讯录!$A:$M,5,FALSE)&amp;"")</f>
        <v/>
      </c>
      <c r="E269" s="41" t="str">
        <f>IF(ISERROR(VLOOKUP($A269,通讯录!$A:$M,6,FALSE)&amp;""),"",VLOOKUP($A269,通讯录!$A:$M,6,FALSE)&amp;"")</f>
        <v/>
      </c>
      <c r="F269" s="41" t="str">
        <f>IF(ISERROR(VLOOKUP($A269,通讯录!$A:$M,4,FALSE)&amp;""),"",VLOOKUP($A269,通讯录!$A:$M,4,FALSE)&amp;"")</f>
        <v/>
      </c>
      <c r="G269" s="41" t="str">
        <f>IF(ISERROR(VLOOKUP($A269,通讯录!$A:$M,8,FALSE)&amp;""),"",VLOOKUP($A269,通讯录!$A:$M,8,FALSE)&amp;"")</f>
        <v/>
      </c>
      <c r="H269" s="41"/>
      <c r="I269" s="41"/>
      <c r="J269" s="41"/>
      <c r="L269" s="28" t="str">
        <f t="shared" si="3"/>
        <v/>
      </c>
    </row>
    <row r="270" spans="2:12" x14ac:dyDescent="0.15">
      <c r="B270" s="41" t="str">
        <f>IF(ISERROR(VLOOKUP($A270,通讯录!$A:$M,3,FALSE)&amp;""),"",VLOOKUP($A270,通讯录!$A:$M,3,FALSE)&amp;"")</f>
        <v/>
      </c>
      <c r="C270" s="41" t="str">
        <f>IF(ISERROR(VLOOKUP($A270,通讯录!$A:$M,7,FALSE)&amp;""),"",VLOOKUP($A270,通讯录!$A:$M,7,FALSE)&amp;"")</f>
        <v/>
      </c>
      <c r="D270" s="41" t="str">
        <f>IF(ISERROR(VLOOKUP($A270,通讯录!$A:$M,5,FALSE)&amp;""),"",VLOOKUP($A270,通讯录!$A:$M,5,FALSE)&amp;"")</f>
        <v/>
      </c>
      <c r="E270" s="41" t="str">
        <f>IF(ISERROR(VLOOKUP($A270,通讯录!$A:$M,6,FALSE)&amp;""),"",VLOOKUP($A270,通讯录!$A:$M,6,FALSE)&amp;"")</f>
        <v/>
      </c>
      <c r="F270" s="41" t="str">
        <f>IF(ISERROR(VLOOKUP($A270,通讯录!$A:$M,4,FALSE)&amp;""),"",VLOOKUP($A270,通讯录!$A:$M,4,FALSE)&amp;"")</f>
        <v/>
      </c>
      <c r="G270" s="41" t="str">
        <f>IF(ISERROR(VLOOKUP($A270,通讯录!$A:$M,8,FALSE)&amp;""),"",VLOOKUP($A270,通讯录!$A:$M,8,FALSE)&amp;"")</f>
        <v/>
      </c>
      <c r="H270" s="41"/>
      <c r="I270" s="41"/>
      <c r="J270" s="41"/>
      <c r="L270" s="28" t="str">
        <f t="shared" si="3"/>
        <v/>
      </c>
    </row>
    <row r="271" spans="2:12" x14ac:dyDescent="0.15">
      <c r="B271" s="41" t="str">
        <f>IF(ISERROR(VLOOKUP($A271,通讯录!$A:$M,3,FALSE)&amp;""),"",VLOOKUP($A271,通讯录!$A:$M,3,FALSE)&amp;"")</f>
        <v/>
      </c>
      <c r="C271" s="41" t="str">
        <f>IF(ISERROR(VLOOKUP($A271,通讯录!$A:$M,7,FALSE)&amp;""),"",VLOOKUP($A271,通讯录!$A:$M,7,FALSE)&amp;"")</f>
        <v/>
      </c>
      <c r="D271" s="41" t="str">
        <f>IF(ISERROR(VLOOKUP($A271,通讯录!$A:$M,5,FALSE)&amp;""),"",VLOOKUP($A271,通讯录!$A:$M,5,FALSE)&amp;"")</f>
        <v/>
      </c>
      <c r="E271" s="41" t="str">
        <f>IF(ISERROR(VLOOKUP($A271,通讯录!$A:$M,6,FALSE)&amp;""),"",VLOOKUP($A271,通讯录!$A:$M,6,FALSE)&amp;"")</f>
        <v/>
      </c>
      <c r="F271" s="41" t="str">
        <f>IF(ISERROR(VLOOKUP($A271,通讯录!$A:$M,4,FALSE)&amp;""),"",VLOOKUP($A271,通讯录!$A:$M,4,FALSE)&amp;"")</f>
        <v/>
      </c>
      <c r="G271" s="41" t="str">
        <f>IF(ISERROR(VLOOKUP($A271,通讯录!$A:$M,8,FALSE)&amp;""),"",VLOOKUP($A271,通讯录!$A:$M,8,FALSE)&amp;"")</f>
        <v/>
      </c>
      <c r="H271" s="41"/>
      <c r="I271" s="41"/>
      <c r="J271" s="41"/>
      <c r="L271" s="28" t="str">
        <f t="shared" si="3"/>
        <v/>
      </c>
    </row>
    <row r="272" spans="2:12" x14ac:dyDescent="0.15">
      <c r="B272" s="41" t="str">
        <f>IF(ISERROR(VLOOKUP($A272,通讯录!$A:$M,3,FALSE)&amp;""),"",VLOOKUP($A272,通讯录!$A:$M,3,FALSE)&amp;"")</f>
        <v/>
      </c>
      <c r="C272" s="41" t="str">
        <f>IF(ISERROR(VLOOKUP($A272,通讯录!$A:$M,7,FALSE)&amp;""),"",VLOOKUP($A272,通讯录!$A:$M,7,FALSE)&amp;"")</f>
        <v/>
      </c>
      <c r="D272" s="41" t="str">
        <f>IF(ISERROR(VLOOKUP($A272,通讯录!$A:$M,5,FALSE)&amp;""),"",VLOOKUP($A272,通讯录!$A:$M,5,FALSE)&amp;"")</f>
        <v/>
      </c>
      <c r="E272" s="41" t="str">
        <f>IF(ISERROR(VLOOKUP($A272,通讯录!$A:$M,6,FALSE)&amp;""),"",VLOOKUP($A272,通讯录!$A:$M,6,FALSE)&amp;"")</f>
        <v/>
      </c>
      <c r="F272" s="41" t="str">
        <f>IF(ISERROR(VLOOKUP($A272,通讯录!$A:$M,4,FALSE)&amp;""),"",VLOOKUP($A272,通讯录!$A:$M,4,FALSE)&amp;"")</f>
        <v/>
      </c>
      <c r="G272" s="41" t="str">
        <f>IF(ISERROR(VLOOKUP($A272,通讯录!$A:$M,8,FALSE)&amp;""),"",VLOOKUP($A272,通讯录!$A:$M,8,FALSE)&amp;"")</f>
        <v/>
      </c>
      <c r="H272" s="41"/>
      <c r="I272" s="41"/>
      <c r="J272" s="41"/>
      <c r="L272" s="28" t="str">
        <f t="shared" si="3"/>
        <v/>
      </c>
    </row>
    <row r="273" spans="2:12" x14ac:dyDescent="0.15">
      <c r="B273" s="41" t="str">
        <f>IF(ISERROR(VLOOKUP($A273,通讯录!$A:$M,3,FALSE)&amp;""),"",VLOOKUP($A273,通讯录!$A:$M,3,FALSE)&amp;"")</f>
        <v/>
      </c>
      <c r="C273" s="41" t="str">
        <f>IF(ISERROR(VLOOKUP($A273,通讯录!$A:$M,7,FALSE)&amp;""),"",VLOOKUP($A273,通讯录!$A:$M,7,FALSE)&amp;"")</f>
        <v/>
      </c>
      <c r="D273" s="41" t="str">
        <f>IF(ISERROR(VLOOKUP($A273,通讯录!$A:$M,5,FALSE)&amp;""),"",VLOOKUP($A273,通讯录!$A:$M,5,FALSE)&amp;"")</f>
        <v/>
      </c>
      <c r="E273" s="41" t="str">
        <f>IF(ISERROR(VLOOKUP($A273,通讯录!$A:$M,6,FALSE)&amp;""),"",VLOOKUP($A273,通讯录!$A:$M,6,FALSE)&amp;"")</f>
        <v/>
      </c>
      <c r="F273" s="41" t="str">
        <f>IF(ISERROR(VLOOKUP($A273,通讯录!$A:$M,4,FALSE)&amp;""),"",VLOOKUP($A273,通讯录!$A:$M,4,FALSE)&amp;"")</f>
        <v/>
      </c>
      <c r="G273" s="41" t="str">
        <f>IF(ISERROR(VLOOKUP($A273,通讯录!$A:$M,8,FALSE)&amp;""),"",VLOOKUP($A273,通讯录!$A:$M,8,FALSE)&amp;"")</f>
        <v/>
      </c>
      <c r="H273" s="41"/>
      <c r="I273" s="41"/>
      <c r="J273" s="41"/>
      <c r="L273" s="28" t="str">
        <f t="shared" si="3"/>
        <v/>
      </c>
    </row>
    <row r="274" spans="2:12" x14ac:dyDescent="0.15">
      <c r="B274" s="41" t="str">
        <f>IF(ISERROR(VLOOKUP($A274,通讯录!$A:$M,3,FALSE)&amp;""),"",VLOOKUP($A274,通讯录!$A:$M,3,FALSE)&amp;"")</f>
        <v/>
      </c>
      <c r="C274" s="41" t="str">
        <f>IF(ISERROR(VLOOKUP($A274,通讯录!$A:$M,7,FALSE)&amp;""),"",VLOOKUP($A274,通讯录!$A:$M,7,FALSE)&amp;"")</f>
        <v/>
      </c>
      <c r="D274" s="41" t="str">
        <f>IF(ISERROR(VLOOKUP($A274,通讯录!$A:$M,5,FALSE)&amp;""),"",VLOOKUP($A274,通讯录!$A:$M,5,FALSE)&amp;"")</f>
        <v/>
      </c>
      <c r="E274" s="41" t="str">
        <f>IF(ISERROR(VLOOKUP($A274,通讯录!$A:$M,6,FALSE)&amp;""),"",VLOOKUP($A274,通讯录!$A:$M,6,FALSE)&amp;"")</f>
        <v/>
      </c>
      <c r="F274" s="41" t="str">
        <f>IF(ISERROR(VLOOKUP($A274,通讯录!$A:$M,4,FALSE)&amp;""),"",VLOOKUP($A274,通讯录!$A:$M,4,FALSE)&amp;"")</f>
        <v/>
      </c>
      <c r="G274" s="41" t="str">
        <f>IF(ISERROR(VLOOKUP($A274,通讯录!$A:$M,8,FALSE)&amp;""),"",VLOOKUP($A274,通讯录!$A:$M,8,FALSE)&amp;"")</f>
        <v/>
      </c>
      <c r="H274" s="41"/>
      <c r="I274" s="41"/>
      <c r="J274" s="41"/>
      <c r="L274" s="28" t="str">
        <f t="shared" si="3"/>
        <v/>
      </c>
    </row>
    <row r="275" spans="2:12" x14ac:dyDescent="0.15">
      <c r="B275" s="41" t="str">
        <f>IF(ISERROR(VLOOKUP($A275,通讯录!$A:$M,3,FALSE)&amp;""),"",VLOOKUP($A275,通讯录!$A:$M,3,FALSE)&amp;"")</f>
        <v/>
      </c>
      <c r="C275" s="41" t="str">
        <f>IF(ISERROR(VLOOKUP($A275,通讯录!$A:$M,7,FALSE)&amp;""),"",VLOOKUP($A275,通讯录!$A:$M,7,FALSE)&amp;"")</f>
        <v/>
      </c>
      <c r="D275" s="41" t="str">
        <f>IF(ISERROR(VLOOKUP($A275,通讯录!$A:$M,5,FALSE)&amp;""),"",VLOOKUP($A275,通讯录!$A:$M,5,FALSE)&amp;"")</f>
        <v/>
      </c>
      <c r="E275" s="41" t="str">
        <f>IF(ISERROR(VLOOKUP($A275,通讯录!$A:$M,6,FALSE)&amp;""),"",VLOOKUP($A275,通讯录!$A:$M,6,FALSE)&amp;"")</f>
        <v/>
      </c>
      <c r="F275" s="41" t="str">
        <f>IF(ISERROR(VLOOKUP($A275,通讯录!$A:$M,4,FALSE)&amp;""),"",VLOOKUP($A275,通讯录!$A:$M,4,FALSE)&amp;"")</f>
        <v/>
      </c>
      <c r="G275" s="41" t="str">
        <f>IF(ISERROR(VLOOKUP($A275,通讯录!$A:$M,8,FALSE)&amp;""),"",VLOOKUP($A275,通讯录!$A:$M,8,FALSE)&amp;"")</f>
        <v/>
      </c>
      <c r="H275" s="41"/>
      <c r="I275" s="41"/>
      <c r="J275" s="41"/>
      <c r="L275" s="28" t="str">
        <f t="shared" si="3"/>
        <v/>
      </c>
    </row>
    <row r="276" spans="2:12" x14ac:dyDescent="0.15">
      <c r="B276" s="41" t="str">
        <f>IF(ISERROR(VLOOKUP($A276,通讯录!$A:$M,3,FALSE)&amp;""),"",VLOOKUP($A276,通讯录!$A:$M,3,FALSE)&amp;"")</f>
        <v/>
      </c>
      <c r="C276" s="41" t="str">
        <f>IF(ISERROR(VLOOKUP($A276,通讯录!$A:$M,7,FALSE)&amp;""),"",VLOOKUP($A276,通讯录!$A:$M,7,FALSE)&amp;"")</f>
        <v/>
      </c>
      <c r="D276" s="41" t="str">
        <f>IF(ISERROR(VLOOKUP($A276,通讯录!$A:$M,5,FALSE)&amp;""),"",VLOOKUP($A276,通讯录!$A:$M,5,FALSE)&amp;"")</f>
        <v/>
      </c>
      <c r="E276" s="41" t="str">
        <f>IF(ISERROR(VLOOKUP($A276,通讯录!$A:$M,6,FALSE)&amp;""),"",VLOOKUP($A276,通讯录!$A:$M,6,FALSE)&amp;"")</f>
        <v/>
      </c>
      <c r="F276" s="41" t="str">
        <f>IF(ISERROR(VLOOKUP($A276,通讯录!$A:$M,4,FALSE)&amp;""),"",VLOOKUP($A276,通讯录!$A:$M,4,FALSE)&amp;"")</f>
        <v/>
      </c>
      <c r="G276" s="41" t="str">
        <f>IF(ISERROR(VLOOKUP($A276,通讯录!$A:$M,8,FALSE)&amp;""),"",VLOOKUP($A276,通讯录!$A:$M,8,FALSE)&amp;"")</f>
        <v/>
      </c>
      <c r="H276" s="41"/>
      <c r="I276" s="41"/>
      <c r="J276" s="41"/>
      <c r="L276" s="28" t="str">
        <f t="shared" si="3"/>
        <v/>
      </c>
    </row>
    <row r="277" spans="2:12" x14ac:dyDescent="0.15">
      <c r="B277" s="41" t="str">
        <f>IF(ISERROR(VLOOKUP($A277,通讯录!$A:$M,3,FALSE)&amp;""),"",VLOOKUP($A277,通讯录!$A:$M,3,FALSE)&amp;"")</f>
        <v/>
      </c>
      <c r="C277" s="41" t="str">
        <f>IF(ISERROR(VLOOKUP($A277,通讯录!$A:$M,7,FALSE)&amp;""),"",VLOOKUP($A277,通讯录!$A:$M,7,FALSE)&amp;"")</f>
        <v/>
      </c>
      <c r="D277" s="41" t="str">
        <f>IF(ISERROR(VLOOKUP($A277,通讯录!$A:$M,5,FALSE)&amp;""),"",VLOOKUP($A277,通讯录!$A:$M,5,FALSE)&amp;"")</f>
        <v/>
      </c>
      <c r="E277" s="41" t="str">
        <f>IF(ISERROR(VLOOKUP($A277,通讯录!$A:$M,6,FALSE)&amp;""),"",VLOOKUP($A277,通讯录!$A:$M,6,FALSE)&amp;"")</f>
        <v/>
      </c>
      <c r="F277" s="41" t="str">
        <f>IF(ISERROR(VLOOKUP($A277,通讯录!$A:$M,4,FALSE)&amp;""),"",VLOOKUP($A277,通讯录!$A:$M,4,FALSE)&amp;"")</f>
        <v/>
      </c>
      <c r="G277" s="41" t="str">
        <f>IF(ISERROR(VLOOKUP($A277,通讯录!$A:$M,8,FALSE)&amp;""),"",VLOOKUP($A277,通讯录!$A:$M,8,FALSE)&amp;"")</f>
        <v/>
      </c>
      <c r="H277" s="41"/>
      <c r="I277" s="41"/>
      <c r="J277" s="41"/>
      <c r="L277" s="28" t="str">
        <f t="shared" si="3"/>
        <v/>
      </c>
    </row>
    <row r="278" spans="2:12" x14ac:dyDescent="0.15">
      <c r="B278" s="41" t="str">
        <f>IF(ISERROR(VLOOKUP($A278,通讯录!$A:$M,3,FALSE)&amp;""),"",VLOOKUP($A278,通讯录!$A:$M,3,FALSE)&amp;"")</f>
        <v/>
      </c>
      <c r="C278" s="41" t="str">
        <f>IF(ISERROR(VLOOKUP($A278,通讯录!$A:$M,7,FALSE)&amp;""),"",VLOOKUP($A278,通讯录!$A:$M,7,FALSE)&amp;"")</f>
        <v/>
      </c>
      <c r="D278" s="41" t="str">
        <f>IF(ISERROR(VLOOKUP($A278,通讯录!$A:$M,5,FALSE)&amp;""),"",VLOOKUP($A278,通讯录!$A:$M,5,FALSE)&amp;"")</f>
        <v/>
      </c>
      <c r="E278" s="41" t="str">
        <f>IF(ISERROR(VLOOKUP($A278,通讯录!$A:$M,6,FALSE)&amp;""),"",VLOOKUP($A278,通讯录!$A:$M,6,FALSE)&amp;"")</f>
        <v/>
      </c>
      <c r="F278" s="41" t="str">
        <f>IF(ISERROR(VLOOKUP($A278,通讯录!$A:$M,4,FALSE)&amp;""),"",VLOOKUP($A278,通讯录!$A:$M,4,FALSE)&amp;"")</f>
        <v/>
      </c>
      <c r="G278" s="41" t="str">
        <f>IF(ISERROR(VLOOKUP($A278,通讯录!$A:$M,8,FALSE)&amp;""),"",VLOOKUP($A278,通讯录!$A:$M,8,FALSE)&amp;"")</f>
        <v/>
      </c>
      <c r="H278" s="41"/>
      <c r="I278" s="41"/>
      <c r="J278" s="41"/>
      <c r="L278" s="28" t="str">
        <f t="shared" si="3"/>
        <v/>
      </c>
    </row>
    <row r="279" spans="2:12" x14ac:dyDescent="0.15">
      <c r="B279" s="41" t="str">
        <f>IF(ISERROR(VLOOKUP($A279,通讯录!$A:$M,3,FALSE)&amp;""),"",VLOOKUP($A279,通讯录!$A:$M,3,FALSE)&amp;"")</f>
        <v/>
      </c>
      <c r="C279" s="41" t="str">
        <f>IF(ISERROR(VLOOKUP($A279,通讯录!$A:$M,7,FALSE)&amp;""),"",VLOOKUP($A279,通讯录!$A:$M,7,FALSE)&amp;"")</f>
        <v/>
      </c>
      <c r="D279" s="41" t="str">
        <f>IF(ISERROR(VLOOKUP($A279,通讯录!$A:$M,5,FALSE)&amp;""),"",VLOOKUP($A279,通讯录!$A:$M,5,FALSE)&amp;"")</f>
        <v/>
      </c>
      <c r="E279" s="41" t="str">
        <f>IF(ISERROR(VLOOKUP($A279,通讯录!$A:$M,6,FALSE)&amp;""),"",VLOOKUP($A279,通讯录!$A:$M,6,FALSE)&amp;"")</f>
        <v/>
      </c>
      <c r="F279" s="41" t="str">
        <f>IF(ISERROR(VLOOKUP($A279,通讯录!$A:$M,4,FALSE)&amp;""),"",VLOOKUP($A279,通讯录!$A:$M,4,FALSE)&amp;"")</f>
        <v/>
      </c>
      <c r="G279" s="41" t="str">
        <f>IF(ISERROR(VLOOKUP($A279,通讯录!$A:$M,8,FALSE)&amp;""),"",VLOOKUP($A279,通讯录!$A:$M,8,FALSE)&amp;"")</f>
        <v/>
      </c>
      <c r="H279" s="41"/>
      <c r="I279" s="41"/>
      <c r="J279" s="41"/>
      <c r="L279" s="28" t="str">
        <f t="shared" si="3"/>
        <v/>
      </c>
    </row>
    <row r="280" spans="2:12" x14ac:dyDescent="0.15">
      <c r="B280" s="41" t="str">
        <f>IF(ISERROR(VLOOKUP($A280,通讯录!$A:$M,3,FALSE)&amp;""),"",VLOOKUP($A280,通讯录!$A:$M,3,FALSE)&amp;"")</f>
        <v/>
      </c>
      <c r="C280" s="41" t="str">
        <f>IF(ISERROR(VLOOKUP($A280,通讯录!$A:$M,7,FALSE)&amp;""),"",VLOOKUP($A280,通讯录!$A:$M,7,FALSE)&amp;"")</f>
        <v/>
      </c>
      <c r="D280" s="41" t="str">
        <f>IF(ISERROR(VLOOKUP($A280,通讯录!$A:$M,5,FALSE)&amp;""),"",VLOOKUP($A280,通讯录!$A:$M,5,FALSE)&amp;"")</f>
        <v/>
      </c>
      <c r="E280" s="41" t="str">
        <f>IF(ISERROR(VLOOKUP($A280,通讯录!$A:$M,6,FALSE)&amp;""),"",VLOOKUP($A280,通讯录!$A:$M,6,FALSE)&amp;"")</f>
        <v/>
      </c>
      <c r="F280" s="41" t="str">
        <f>IF(ISERROR(VLOOKUP($A280,通讯录!$A:$M,4,FALSE)&amp;""),"",VLOOKUP($A280,通讯录!$A:$M,4,FALSE)&amp;"")</f>
        <v/>
      </c>
      <c r="G280" s="41" t="str">
        <f>IF(ISERROR(VLOOKUP($A280,通讯录!$A:$M,8,FALSE)&amp;""),"",VLOOKUP($A280,通讯录!$A:$M,8,FALSE)&amp;"")</f>
        <v/>
      </c>
      <c r="H280" s="41"/>
      <c r="I280" s="41"/>
      <c r="J280" s="41"/>
      <c r="L280" s="28" t="str">
        <f t="shared" si="3"/>
        <v/>
      </c>
    </row>
    <row r="281" spans="2:12" x14ac:dyDescent="0.15">
      <c r="B281" s="41" t="str">
        <f>IF(ISERROR(VLOOKUP($A281,通讯录!$A:$M,3,FALSE)&amp;""),"",VLOOKUP($A281,通讯录!$A:$M,3,FALSE)&amp;"")</f>
        <v/>
      </c>
      <c r="C281" s="41" t="str">
        <f>IF(ISERROR(VLOOKUP($A281,通讯录!$A:$M,7,FALSE)&amp;""),"",VLOOKUP($A281,通讯录!$A:$M,7,FALSE)&amp;"")</f>
        <v/>
      </c>
      <c r="D281" s="41" t="str">
        <f>IF(ISERROR(VLOOKUP($A281,通讯录!$A:$M,5,FALSE)&amp;""),"",VLOOKUP($A281,通讯录!$A:$M,5,FALSE)&amp;"")</f>
        <v/>
      </c>
      <c r="E281" s="41" t="str">
        <f>IF(ISERROR(VLOOKUP($A281,通讯录!$A:$M,6,FALSE)&amp;""),"",VLOOKUP($A281,通讯录!$A:$M,6,FALSE)&amp;"")</f>
        <v/>
      </c>
      <c r="F281" s="41" t="str">
        <f>IF(ISERROR(VLOOKUP($A281,通讯录!$A:$M,4,FALSE)&amp;""),"",VLOOKUP($A281,通讯录!$A:$M,4,FALSE)&amp;"")</f>
        <v/>
      </c>
      <c r="G281" s="41" t="str">
        <f>IF(ISERROR(VLOOKUP($A281,通讯录!$A:$M,8,FALSE)&amp;""),"",VLOOKUP($A281,通讯录!$A:$M,8,FALSE)&amp;"")</f>
        <v/>
      </c>
      <c r="H281" s="41"/>
      <c r="I281" s="41"/>
      <c r="J281" s="41"/>
      <c r="L281" s="28" t="str">
        <f t="shared" si="3"/>
        <v/>
      </c>
    </row>
    <row r="282" spans="2:12" x14ac:dyDescent="0.15">
      <c r="B282" s="41" t="str">
        <f>IF(ISERROR(VLOOKUP($A282,通讯录!$A:$M,3,FALSE)&amp;""),"",VLOOKUP($A282,通讯录!$A:$M,3,FALSE)&amp;"")</f>
        <v/>
      </c>
      <c r="C282" s="41" t="str">
        <f>IF(ISERROR(VLOOKUP($A282,通讯录!$A:$M,7,FALSE)&amp;""),"",VLOOKUP($A282,通讯录!$A:$M,7,FALSE)&amp;"")</f>
        <v/>
      </c>
      <c r="D282" s="41" t="str">
        <f>IF(ISERROR(VLOOKUP($A282,通讯录!$A:$M,5,FALSE)&amp;""),"",VLOOKUP($A282,通讯录!$A:$M,5,FALSE)&amp;"")</f>
        <v/>
      </c>
      <c r="E282" s="41" t="str">
        <f>IF(ISERROR(VLOOKUP($A282,通讯录!$A:$M,6,FALSE)&amp;""),"",VLOOKUP($A282,通讯录!$A:$M,6,FALSE)&amp;"")</f>
        <v/>
      </c>
      <c r="F282" s="41" t="str">
        <f>IF(ISERROR(VLOOKUP($A282,通讯录!$A:$M,4,FALSE)&amp;""),"",VLOOKUP($A282,通讯录!$A:$M,4,FALSE)&amp;"")</f>
        <v/>
      </c>
      <c r="G282" s="41" t="str">
        <f>IF(ISERROR(VLOOKUP($A282,通讯录!$A:$M,8,FALSE)&amp;""),"",VLOOKUP($A282,通讯录!$A:$M,8,FALSE)&amp;"")</f>
        <v/>
      </c>
      <c r="H282" s="41"/>
      <c r="I282" s="41"/>
      <c r="J282" s="41"/>
      <c r="L282" s="28" t="str">
        <f t="shared" si="3"/>
        <v/>
      </c>
    </row>
    <row r="283" spans="2:12" x14ac:dyDescent="0.15">
      <c r="B283" s="41" t="str">
        <f>IF(ISERROR(VLOOKUP($A283,通讯录!$A:$M,3,FALSE)&amp;""),"",VLOOKUP($A283,通讯录!$A:$M,3,FALSE)&amp;"")</f>
        <v/>
      </c>
      <c r="C283" s="41" t="str">
        <f>IF(ISERROR(VLOOKUP($A283,通讯录!$A:$M,7,FALSE)&amp;""),"",VLOOKUP($A283,通讯录!$A:$M,7,FALSE)&amp;"")</f>
        <v/>
      </c>
      <c r="D283" s="41" t="str">
        <f>IF(ISERROR(VLOOKUP($A283,通讯录!$A:$M,5,FALSE)&amp;""),"",VLOOKUP($A283,通讯录!$A:$M,5,FALSE)&amp;"")</f>
        <v/>
      </c>
      <c r="E283" s="41" t="str">
        <f>IF(ISERROR(VLOOKUP($A283,通讯录!$A:$M,6,FALSE)&amp;""),"",VLOOKUP($A283,通讯录!$A:$M,6,FALSE)&amp;"")</f>
        <v/>
      </c>
      <c r="F283" s="41" t="str">
        <f>IF(ISERROR(VLOOKUP($A283,通讯录!$A:$M,4,FALSE)&amp;""),"",VLOOKUP($A283,通讯录!$A:$M,4,FALSE)&amp;"")</f>
        <v/>
      </c>
      <c r="G283" s="41" t="str">
        <f>IF(ISERROR(VLOOKUP($A283,通讯录!$A:$M,8,FALSE)&amp;""),"",VLOOKUP($A283,通讯录!$A:$M,8,FALSE)&amp;"")</f>
        <v/>
      </c>
      <c r="H283" s="41"/>
      <c r="I283" s="41"/>
      <c r="J283" s="41"/>
      <c r="L283" s="28" t="str">
        <f t="shared" si="3"/>
        <v/>
      </c>
    </row>
    <row r="284" spans="2:12" x14ac:dyDescent="0.15">
      <c r="B284" s="41" t="str">
        <f>IF(ISERROR(VLOOKUP($A284,通讯录!$A:$M,3,FALSE)&amp;""),"",VLOOKUP($A284,通讯录!$A:$M,3,FALSE)&amp;"")</f>
        <v/>
      </c>
      <c r="C284" s="41" t="str">
        <f>IF(ISERROR(VLOOKUP($A284,通讯录!$A:$M,7,FALSE)&amp;""),"",VLOOKUP($A284,通讯录!$A:$M,7,FALSE)&amp;"")</f>
        <v/>
      </c>
      <c r="D284" s="41" t="str">
        <f>IF(ISERROR(VLOOKUP($A284,通讯录!$A:$M,5,FALSE)&amp;""),"",VLOOKUP($A284,通讯录!$A:$M,5,FALSE)&amp;"")</f>
        <v/>
      </c>
      <c r="E284" s="41" t="str">
        <f>IF(ISERROR(VLOOKUP($A284,通讯录!$A:$M,6,FALSE)&amp;""),"",VLOOKUP($A284,通讯录!$A:$M,6,FALSE)&amp;"")</f>
        <v/>
      </c>
      <c r="F284" s="41" t="str">
        <f>IF(ISERROR(VLOOKUP($A284,通讯录!$A:$M,4,FALSE)&amp;""),"",VLOOKUP($A284,通讯录!$A:$M,4,FALSE)&amp;"")</f>
        <v/>
      </c>
      <c r="G284" s="41" t="str">
        <f>IF(ISERROR(VLOOKUP($A284,通讯录!$A:$M,8,FALSE)&amp;""),"",VLOOKUP($A284,通讯录!$A:$M,8,FALSE)&amp;"")</f>
        <v/>
      </c>
      <c r="H284" s="41"/>
      <c r="I284" s="41"/>
      <c r="J284" s="41"/>
      <c r="L284" s="28" t="str">
        <f t="shared" si="3"/>
        <v/>
      </c>
    </row>
    <row r="285" spans="2:12" x14ac:dyDescent="0.15">
      <c r="B285" s="41" t="str">
        <f>IF(ISERROR(VLOOKUP($A285,通讯录!$A:$M,3,FALSE)&amp;""),"",VLOOKUP($A285,通讯录!$A:$M,3,FALSE)&amp;"")</f>
        <v/>
      </c>
      <c r="C285" s="41" t="str">
        <f>IF(ISERROR(VLOOKUP($A285,通讯录!$A:$M,7,FALSE)&amp;""),"",VLOOKUP($A285,通讯录!$A:$M,7,FALSE)&amp;"")</f>
        <v/>
      </c>
      <c r="D285" s="41" t="str">
        <f>IF(ISERROR(VLOOKUP($A285,通讯录!$A:$M,5,FALSE)&amp;""),"",VLOOKUP($A285,通讯录!$A:$M,5,FALSE)&amp;"")</f>
        <v/>
      </c>
      <c r="E285" s="41" t="str">
        <f>IF(ISERROR(VLOOKUP($A285,通讯录!$A:$M,6,FALSE)&amp;""),"",VLOOKUP($A285,通讯录!$A:$M,6,FALSE)&amp;"")</f>
        <v/>
      </c>
      <c r="F285" s="41" t="str">
        <f>IF(ISERROR(VLOOKUP($A285,通讯录!$A:$M,4,FALSE)&amp;""),"",VLOOKUP($A285,通讯录!$A:$M,4,FALSE)&amp;"")</f>
        <v/>
      </c>
      <c r="G285" s="41" t="str">
        <f>IF(ISERROR(VLOOKUP($A285,通讯录!$A:$M,8,FALSE)&amp;""),"",VLOOKUP($A285,通讯录!$A:$M,8,FALSE)&amp;"")</f>
        <v/>
      </c>
      <c r="H285" s="41"/>
      <c r="I285" s="41"/>
      <c r="J285" s="41"/>
      <c r="L285" s="28" t="str">
        <f t="shared" si="3"/>
        <v/>
      </c>
    </row>
    <row r="286" spans="2:12" x14ac:dyDescent="0.15">
      <c r="B286" s="41" t="str">
        <f>IF(ISERROR(VLOOKUP($A286,通讯录!$A:$M,3,FALSE)&amp;""),"",VLOOKUP($A286,通讯录!$A:$M,3,FALSE)&amp;"")</f>
        <v/>
      </c>
      <c r="C286" s="41" t="str">
        <f>IF(ISERROR(VLOOKUP($A286,通讯录!$A:$M,7,FALSE)&amp;""),"",VLOOKUP($A286,通讯录!$A:$M,7,FALSE)&amp;"")</f>
        <v/>
      </c>
      <c r="D286" s="41" t="str">
        <f>IF(ISERROR(VLOOKUP($A286,通讯录!$A:$M,5,FALSE)&amp;""),"",VLOOKUP($A286,通讯录!$A:$M,5,FALSE)&amp;"")</f>
        <v/>
      </c>
      <c r="E286" s="41" t="str">
        <f>IF(ISERROR(VLOOKUP($A286,通讯录!$A:$M,6,FALSE)&amp;""),"",VLOOKUP($A286,通讯录!$A:$M,6,FALSE)&amp;"")</f>
        <v/>
      </c>
      <c r="F286" s="41" t="str">
        <f>IF(ISERROR(VLOOKUP($A286,通讯录!$A:$M,4,FALSE)&amp;""),"",VLOOKUP($A286,通讯录!$A:$M,4,FALSE)&amp;"")</f>
        <v/>
      </c>
      <c r="G286" s="41" t="str">
        <f>IF(ISERROR(VLOOKUP($A286,通讯录!$A:$M,8,FALSE)&amp;""),"",VLOOKUP($A286,通讯录!$A:$M,8,FALSE)&amp;"")</f>
        <v/>
      </c>
      <c r="H286" s="41"/>
      <c r="I286" s="41"/>
      <c r="J286" s="41"/>
      <c r="L286" s="28" t="str">
        <f t="shared" si="3"/>
        <v/>
      </c>
    </row>
    <row r="287" spans="2:12" x14ac:dyDescent="0.15">
      <c r="B287" s="41" t="str">
        <f>IF(ISERROR(VLOOKUP($A287,通讯录!$A:$M,3,FALSE)&amp;""),"",VLOOKUP($A287,通讯录!$A:$M,3,FALSE)&amp;"")</f>
        <v/>
      </c>
      <c r="C287" s="41" t="str">
        <f>IF(ISERROR(VLOOKUP($A287,通讯录!$A:$M,7,FALSE)&amp;""),"",VLOOKUP($A287,通讯录!$A:$M,7,FALSE)&amp;"")</f>
        <v/>
      </c>
      <c r="D287" s="41" t="str">
        <f>IF(ISERROR(VLOOKUP($A287,通讯录!$A:$M,5,FALSE)&amp;""),"",VLOOKUP($A287,通讯录!$A:$M,5,FALSE)&amp;"")</f>
        <v/>
      </c>
      <c r="E287" s="41" t="str">
        <f>IF(ISERROR(VLOOKUP($A287,通讯录!$A:$M,6,FALSE)&amp;""),"",VLOOKUP($A287,通讯录!$A:$M,6,FALSE)&amp;"")</f>
        <v/>
      </c>
      <c r="F287" s="41" t="str">
        <f>IF(ISERROR(VLOOKUP($A287,通讯录!$A:$M,4,FALSE)&amp;""),"",VLOOKUP($A287,通讯录!$A:$M,4,FALSE)&amp;"")</f>
        <v/>
      </c>
      <c r="G287" s="41" t="str">
        <f>IF(ISERROR(VLOOKUP($A287,通讯录!$A:$M,8,FALSE)&amp;""),"",VLOOKUP($A287,通讯录!$A:$M,8,FALSE)&amp;"")</f>
        <v/>
      </c>
      <c r="H287" s="41"/>
      <c r="I287" s="41"/>
      <c r="J287" s="41"/>
      <c r="L287" s="28" t="str">
        <f t="shared" si="3"/>
        <v/>
      </c>
    </row>
    <row r="288" spans="2:12" x14ac:dyDescent="0.15">
      <c r="B288" s="41" t="str">
        <f>IF(ISERROR(VLOOKUP($A288,通讯录!$A:$M,3,FALSE)&amp;""),"",VLOOKUP($A288,通讯录!$A:$M,3,FALSE)&amp;"")</f>
        <v/>
      </c>
      <c r="C288" s="41" t="str">
        <f>IF(ISERROR(VLOOKUP($A288,通讯录!$A:$M,7,FALSE)&amp;""),"",VLOOKUP($A288,通讯录!$A:$M,7,FALSE)&amp;"")</f>
        <v/>
      </c>
      <c r="D288" s="41" t="str">
        <f>IF(ISERROR(VLOOKUP($A288,通讯录!$A:$M,5,FALSE)&amp;""),"",VLOOKUP($A288,通讯录!$A:$M,5,FALSE)&amp;"")</f>
        <v/>
      </c>
      <c r="E288" s="41" t="str">
        <f>IF(ISERROR(VLOOKUP($A288,通讯录!$A:$M,6,FALSE)&amp;""),"",VLOOKUP($A288,通讯录!$A:$M,6,FALSE)&amp;"")</f>
        <v/>
      </c>
      <c r="F288" s="41" t="str">
        <f>IF(ISERROR(VLOOKUP($A288,通讯录!$A:$M,4,FALSE)&amp;""),"",VLOOKUP($A288,通讯录!$A:$M,4,FALSE)&amp;"")</f>
        <v/>
      </c>
      <c r="G288" s="41" t="str">
        <f>IF(ISERROR(VLOOKUP($A288,通讯录!$A:$M,8,FALSE)&amp;""),"",VLOOKUP($A288,通讯录!$A:$M,8,FALSE)&amp;"")</f>
        <v/>
      </c>
      <c r="H288" s="41"/>
      <c r="I288" s="41"/>
      <c r="J288" s="41"/>
      <c r="L288" s="28" t="str">
        <f t="shared" si="3"/>
        <v/>
      </c>
    </row>
    <row r="289" spans="2:12" x14ac:dyDescent="0.15">
      <c r="B289" s="41" t="str">
        <f>IF(ISERROR(VLOOKUP($A289,通讯录!$A:$M,3,FALSE)&amp;""),"",VLOOKUP($A289,通讯录!$A:$M,3,FALSE)&amp;"")</f>
        <v/>
      </c>
      <c r="C289" s="41" t="str">
        <f>IF(ISERROR(VLOOKUP($A289,通讯录!$A:$M,7,FALSE)&amp;""),"",VLOOKUP($A289,通讯录!$A:$M,7,FALSE)&amp;"")</f>
        <v/>
      </c>
      <c r="D289" s="41" t="str">
        <f>IF(ISERROR(VLOOKUP($A289,通讯录!$A:$M,5,FALSE)&amp;""),"",VLOOKUP($A289,通讯录!$A:$M,5,FALSE)&amp;"")</f>
        <v/>
      </c>
      <c r="E289" s="41" t="str">
        <f>IF(ISERROR(VLOOKUP($A289,通讯录!$A:$M,6,FALSE)&amp;""),"",VLOOKUP($A289,通讯录!$A:$M,6,FALSE)&amp;"")</f>
        <v/>
      </c>
      <c r="F289" s="41" t="str">
        <f>IF(ISERROR(VLOOKUP($A289,通讯录!$A:$M,4,FALSE)&amp;""),"",VLOOKUP($A289,通讯录!$A:$M,4,FALSE)&amp;"")</f>
        <v/>
      </c>
      <c r="G289" s="41" t="str">
        <f>IF(ISERROR(VLOOKUP($A289,通讯录!$A:$M,8,FALSE)&amp;""),"",VLOOKUP($A289,通讯录!$A:$M,8,FALSE)&amp;"")</f>
        <v/>
      </c>
      <c r="H289" s="41"/>
      <c r="I289" s="41"/>
      <c r="J289" s="41"/>
      <c r="L289" s="28" t="str">
        <f t="shared" si="3"/>
        <v/>
      </c>
    </row>
    <row r="290" spans="2:12" x14ac:dyDescent="0.15">
      <c r="B290" s="41" t="str">
        <f>IF(ISERROR(VLOOKUP($A290,通讯录!$A:$M,3,FALSE)&amp;""),"",VLOOKUP($A290,通讯录!$A:$M,3,FALSE)&amp;"")</f>
        <v/>
      </c>
      <c r="C290" s="41" t="str">
        <f>IF(ISERROR(VLOOKUP($A290,通讯录!$A:$M,7,FALSE)&amp;""),"",VLOOKUP($A290,通讯录!$A:$M,7,FALSE)&amp;"")</f>
        <v/>
      </c>
      <c r="D290" s="41" t="str">
        <f>IF(ISERROR(VLOOKUP($A290,通讯录!$A:$M,5,FALSE)&amp;""),"",VLOOKUP($A290,通讯录!$A:$M,5,FALSE)&amp;"")</f>
        <v/>
      </c>
      <c r="E290" s="41" t="str">
        <f>IF(ISERROR(VLOOKUP($A290,通讯录!$A:$M,6,FALSE)&amp;""),"",VLOOKUP($A290,通讯录!$A:$M,6,FALSE)&amp;"")</f>
        <v/>
      </c>
      <c r="F290" s="41" t="str">
        <f>IF(ISERROR(VLOOKUP($A290,通讯录!$A:$M,4,FALSE)&amp;""),"",VLOOKUP($A290,通讯录!$A:$M,4,FALSE)&amp;"")</f>
        <v/>
      </c>
      <c r="G290" s="41" t="str">
        <f>IF(ISERROR(VLOOKUP($A290,通讯录!$A:$M,8,FALSE)&amp;""),"",VLOOKUP($A290,通讯录!$A:$M,8,FALSE)&amp;"")</f>
        <v/>
      </c>
      <c r="H290" s="41"/>
      <c r="I290" s="41"/>
      <c r="J290" s="41"/>
      <c r="L290" s="28" t="str">
        <f t="shared" si="3"/>
        <v/>
      </c>
    </row>
    <row r="291" spans="2:12" x14ac:dyDescent="0.15">
      <c r="B291" s="41" t="str">
        <f>IF(ISERROR(VLOOKUP($A291,通讯录!$A:$M,3,FALSE)&amp;""),"",VLOOKUP($A291,通讯录!$A:$M,3,FALSE)&amp;"")</f>
        <v/>
      </c>
      <c r="C291" s="41" t="str">
        <f>IF(ISERROR(VLOOKUP($A291,通讯录!$A:$M,7,FALSE)&amp;""),"",VLOOKUP($A291,通讯录!$A:$M,7,FALSE)&amp;"")</f>
        <v/>
      </c>
      <c r="D291" s="41" t="str">
        <f>IF(ISERROR(VLOOKUP($A291,通讯录!$A:$M,5,FALSE)&amp;""),"",VLOOKUP($A291,通讯录!$A:$M,5,FALSE)&amp;"")</f>
        <v/>
      </c>
      <c r="E291" s="41" t="str">
        <f>IF(ISERROR(VLOOKUP($A291,通讯录!$A:$M,6,FALSE)&amp;""),"",VLOOKUP($A291,通讯录!$A:$M,6,FALSE)&amp;"")</f>
        <v/>
      </c>
      <c r="F291" s="41" t="str">
        <f>IF(ISERROR(VLOOKUP($A291,通讯录!$A:$M,4,FALSE)&amp;""),"",VLOOKUP($A291,通讯录!$A:$M,4,FALSE)&amp;"")</f>
        <v/>
      </c>
      <c r="G291" s="41" t="str">
        <f>IF(ISERROR(VLOOKUP($A291,通讯录!$A:$M,8,FALSE)&amp;""),"",VLOOKUP($A291,通讯录!$A:$M,8,FALSE)&amp;"")</f>
        <v/>
      </c>
      <c r="H291" s="41"/>
      <c r="I291" s="41"/>
      <c r="J291" s="41"/>
      <c r="L291" s="28" t="str">
        <f t="shared" si="3"/>
        <v/>
      </c>
    </row>
    <row r="292" spans="2:12" x14ac:dyDescent="0.15">
      <c r="B292" s="41" t="str">
        <f>IF(ISERROR(VLOOKUP($A292,通讯录!$A:$M,3,FALSE)&amp;""),"",VLOOKUP($A292,通讯录!$A:$M,3,FALSE)&amp;"")</f>
        <v/>
      </c>
      <c r="C292" s="41" t="str">
        <f>IF(ISERROR(VLOOKUP($A292,通讯录!$A:$M,7,FALSE)&amp;""),"",VLOOKUP($A292,通讯录!$A:$M,7,FALSE)&amp;"")</f>
        <v/>
      </c>
      <c r="D292" s="41" t="str">
        <f>IF(ISERROR(VLOOKUP($A292,通讯录!$A:$M,5,FALSE)&amp;""),"",VLOOKUP($A292,通讯录!$A:$M,5,FALSE)&amp;"")</f>
        <v/>
      </c>
      <c r="E292" s="41" t="str">
        <f>IF(ISERROR(VLOOKUP($A292,通讯录!$A:$M,6,FALSE)&amp;""),"",VLOOKUP($A292,通讯录!$A:$M,6,FALSE)&amp;"")</f>
        <v/>
      </c>
      <c r="F292" s="41" t="str">
        <f>IF(ISERROR(VLOOKUP($A292,通讯录!$A:$M,4,FALSE)&amp;""),"",VLOOKUP($A292,通讯录!$A:$M,4,FALSE)&amp;"")</f>
        <v/>
      </c>
      <c r="G292" s="41" t="str">
        <f>IF(ISERROR(VLOOKUP($A292,通讯录!$A:$M,8,FALSE)&amp;""),"",VLOOKUP($A292,通讯录!$A:$M,8,FALSE)&amp;"")</f>
        <v/>
      </c>
      <c r="H292" s="41"/>
      <c r="I292" s="41"/>
      <c r="J292" s="41"/>
      <c r="L292" s="28" t="str">
        <f t="shared" si="3"/>
        <v/>
      </c>
    </row>
    <row r="293" spans="2:12" x14ac:dyDescent="0.15">
      <c r="B293" s="41" t="str">
        <f>IF(ISERROR(VLOOKUP($A293,通讯录!$A:$M,3,FALSE)&amp;""),"",VLOOKUP($A293,通讯录!$A:$M,3,FALSE)&amp;"")</f>
        <v/>
      </c>
      <c r="C293" s="41" t="str">
        <f>IF(ISERROR(VLOOKUP($A293,通讯录!$A:$M,7,FALSE)&amp;""),"",VLOOKUP($A293,通讯录!$A:$M,7,FALSE)&amp;"")</f>
        <v/>
      </c>
      <c r="D293" s="41" t="str">
        <f>IF(ISERROR(VLOOKUP($A293,通讯录!$A:$M,5,FALSE)&amp;""),"",VLOOKUP($A293,通讯录!$A:$M,5,FALSE)&amp;"")</f>
        <v/>
      </c>
      <c r="E293" s="41" t="str">
        <f>IF(ISERROR(VLOOKUP($A293,通讯录!$A:$M,6,FALSE)&amp;""),"",VLOOKUP($A293,通讯录!$A:$M,6,FALSE)&amp;"")</f>
        <v/>
      </c>
      <c r="F293" s="41" t="str">
        <f>IF(ISERROR(VLOOKUP($A293,通讯录!$A:$M,4,FALSE)&amp;""),"",VLOOKUP($A293,通讯录!$A:$M,4,FALSE)&amp;"")</f>
        <v/>
      </c>
      <c r="G293" s="41" t="str">
        <f>IF(ISERROR(VLOOKUP($A293,通讯录!$A:$M,8,FALSE)&amp;""),"",VLOOKUP($A293,通讯录!$A:$M,8,FALSE)&amp;"")</f>
        <v/>
      </c>
      <c r="H293" s="41"/>
      <c r="I293" s="41"/>
      <c r="J293" s="41"/>
      <c r="L293" s="28" t="str">
        <f t="shared" si="3"/>
        <v/>
      </c>
    </row>
    <row r="294" spans="2:12" x14ac:dyDescent="0.15">
      <c r="B294" s="41" t="str">
        <f>IF(ISERROR(VLOOKUP($A294,通讯录!$A:$M,3,FALSE)&amp;""),"",VLOOKUP($A294,通讯录!$A:$M,3,FALSE)&amp;"")</f>
        <v/>
      </c>
      <c r="C294" s="41" t="str">
        <f>IF(ISERROR(VLOOKUP($A294,通讯录!$A:$M,7,FALSE)&amp;""),"",VLOOKUP($A294,通讯录!$A:$M,7,FALSE)&amp;"")</f>
        <v/>
      </c>
      <c r="D294" s="41" t="str">
        <f>IF(ISERROR(VLOOKUP($A294,通讯录!$A:$M,5,FALSE)&amp;""),"",VLOOKUP($A294,通讯录!$A:$M,5,FALSE)&amp;"")</f>
        <v/>
      </c>
      <c r="E294" s="41" t="str">
        <f>IF(ISERROR(VLOOKUP($A294,通讯录!$A:$M,6,FALSE)&amp;""),"",VLOOKUP($A294,通讯录!$A:$M,6,FALSE)&amp;"")</f>
        <v/>
      </c>
      <c r="F294" s="41" t="str">
        <f>IF(ISERROR(VLOOKUP($A294,通讯录!$A:$M,4,FALSE)&amp;""),"",VLOOKUP($A294,通讯录!$A:$M,4,FALSE)&amp;"")</f>
        <v/>
      </c>
      <c r="G294" s="41" t="str">
        <f>IF(ISERROR(VLOOKUP($A294,通讯录!$A:$M,8,FALSE)&amp;""),"",VLOOKUP($A294,通讯录!$A:$M,8,FALSE)&amp;"")</f>
        <v/>
      </c>
      <c r="H294" s="41"/>
      <c r="I294" s="41"/>
      <c r="J294" s="41"/>
      <c r="L294" s="28" t="str">
        <f t="shared" si="3"/>
        <v/>
      </c>
    </row>
    <row r="295" spans="2:12" x14ac:dyDescent="0.15">
      <c r="B295" s="41" t="str">
        <f>IF(ISERROR(VLOOKUP($A295,通讯录!$A:$M,3,FALSE)&amp;""),"",VLOOKUP($A295,通讯录!$A:$M,3,FALSE)&amp;"")</f>
        <v/>
      </c>
      <c r="C295" s="41" t="str">
        <f>IF(ISERROR(VLOOKUP($A295,通讯录!$A:$M,7,FALSE)&amp;""),"",VLOOKUP($A295,通讯录!$A:$M,7,FALSE)&amp;"")</f>
        <v/>
      </c>
      <c r="D295" s="41" t="str">
        <f>IF(ISERROR(VLOOKUP($A295,通讯录!$A:$M,5,FALSE)&amp;""),"",VLOOKUP($A295,通讯录!$A:$M,5,FALSE)&amp;"")</f>
        <v/>
      </c>
      <c r="E295" s="41" t="str">
        <f>IF(ISERROR(VLOOKUP($A295,通讯录!$A:$M,6,FALSE)&amp;""),"",VLOOKUP($A295,通讯录!$A:$M,6,FALSE)&amp;"")</f>
        <v/>
      </c>
      <c r="F295" s="41" t="str">
        <f>IF(ISERROR(VLOOKUP($A295,通讯录!$A:$M,4,FALSE)&amp;""),"",VLOOKUP($A295,通讯录!$A:$M,4,FALSE)&amp;"")</f>
        <v/>
      </c>
      <c r="G295" s="41" t="str">
        <f>IF(ISERROR(VLOOKUP($A295,通讯录!$A:$M,8,FALSE)&amp;""),"",VLOOKUP($A295,通讯录!$A:$M,8,FALSE)&amp;"")</f>
        <v/>
      </c>
      <c r="H295" s="41"/>
      <c r="I295" s="41"/>
      <c r="J295" s="41"/>
      <c r="L295" s="28" t="str">
        <f t="shared" si="3"/>
        <v/>
      </c>
    </row>
    <row r="296" spans="2:12" x14ac:dyDescent="0.15">
      <c r="B296" s="41" t="str">
        <f>IF(ISERROR(VLOOKUP($A296,通讯录!$A:$M,3,FALSE)&amp;""),"",VLOOKUP($A296,通讯录!$A:$M,3,FALSE)&amp;"")</f>
        <v/>
      </c>
      <c r="C296" s="41" t="str">
        <f>IF(ISERROR(VLOOKUP($A296,通讯录!$A:$M,7,FALSE)&amp;""),"",VLOOKUP($A296,通讯录!$A:$M,7,FALSE)&amp;"")</f>
        <v/>
      </c>
      <c r="D296" s="41" t="str">
        <f>IF(ISERROR(VLOOKUP($A296,通讯录!$A:$M,5,FALSE)&amp;""),"",VLOOKUP($A296,通讯录!$A:$M,5,FALSE)&amp;"")</f>
        <v/>
      </c>
      <c r="E296" s="41" t="str">
        <f>IF(ISERROR(VLOOKUP($A296,通讯录!$A:$M,6,FALSE)&amp;""),"",VLOOKUP($A296,通讯录!$A:$M,6,FALSE)&amp;"")</f>
        <v/>
      </c>
      <c r="F296" s="41" t="str">
        <f>IF(ISERROR(VLOOKUP($A296,通讯录!$A:$M,4,FALSE)&amp;""),"",VLOOKUP($A296,通讯录!$A:$M,4,FALSE)&amp;"")</f>
        <v/>
      </c>
      <c r="G296" s="41" t="str">
        <f>IF(ISERROR(VLOOKUP($A296,通讯录!$A:$M,8,FALSE)&amp;""),"",VLOOKUP($A296,通讯录!$A:$M,8,FALSE)&amp;"")</f>
        <v/>
      </c>
      <c r="H296" s="41"/>
      <c r="I296" s="41"/>
      <c r="J296" s="41"/>
      <c r="L296" s="28" t="str">
        <f t="shared" si="3"/>
        <v/>
      </c>
    </row>
    <row r="297" spans="2:12" x14ac:dyDescent="0.15">
      <c r="B297" s="41" t="str">
        <f>IF(ISERROR(VLOOKUP($A297,通讯录!$A:$M,3,FALSE)&amp;""),"",VLOOKUP($A297,通讯录!$A:$M,3,FALSE)&amp;"")</f>
        <v/>
      </c>
      <c r="C297" s="41" t="str">
        <f>IF(ISERROR(VLOOKUP($A297,通讯录!$A:$M,7,FALSE)&amp;""),"",VLOOKUP($A297,通讯录!$A:$M,7,FALSE)&amp;"")</f>
        <v/>
      </c>
      <c r="D297" s="41" t="str">
        <f>IF(ISERROR(VLOOKUP($A297,通讯录!$A:$M,5,FALSE)&amp;""),"",VLOOKUP($A297,通讯录!$A:$M,5,FALSE)&amp;"")</f>
        <v/>
      </c>
      <c r="E297" s="41" t="str">
        <f>IF(ISERROR(VLOOKUP($A297,通讯录!$A:$M,6,FALSE)&amp;""),"",VLOOKUP($A297,通讯录!$A:$M,6,FALSE)&amp;"")</f>
        <v/>
      </c>
      <c r="F297" s="41" t="str">
        <f>IF(ISERROR(VLOOKUP($A297,通讯录!$A:$M,4,FALSE)&amp;""),"",VLOOKUP($A297,通讯录!$A:$M,4,FALSE)&amp;"")</f>
        <v/>
      </c>
      <c r="G297" s="41" t="str">
        <f>IF(ISERROR(VLOOKUP($A297,通讯录!$A:$M,8,FALSE)&amp;""),"",VLOOKUP($A297,通讯录!$A:$M,8,FALSE)&amp;"")</f>
        <v/>
      </c>
      <c r="H297" s="41"/>
      <c r="I297" s="41"/>
      <c r="J297" s="41"/>
      <c r="L297" s="28" t="str">
        <f t="shared" si="3"/>
        <v/>
      </c>
    </row>
    <row r="298" spans="2:12" x14ac:dyDescent="0.15">
      <c r="B298" s="41" t="str">
        <f>IF(ISERROR(VLOOKUP($A298,通讯录!$A:$M,3,FALSE)&amp;""),"",VLOOKUP($A298,通讯录!$A:$M,3,FALSE)&amp;"")</f>
        <v/>
      </c>
      <c r="C298" s="41" t="str">
        <f>IF(ISERROR(VLOOKUP($A298,通讯录!$A:$M,7,FALSE)&amp;""),"",VLOOKUP($A298,通讯录!$A:$M,7,FALSE)&amp;"")</f>
        <v/>
      </c>
      <c r="D298" s="41" t="str">
        <f>IF(ISERROR(VLOOKUP($A298,通讯录!$A:$M,5,FALSE)&amp;""),"",VLOOKUP($A298,通讯录!$A:$M,5,FALSE)&amp;"")</f>
        <v/>
      </c>
      <c r="E298" s="41" t="str">
        <f>IF(ISERROR(VLOOKUP($A298,通讯录!$A:$M,6,FALSE)&amp;""),"",VLOOKUP($A298,通讯录!$A:$M,6,FALSE)&amp;"")</f>
        <v/>
      </c>
      <c r="F298" s="41" t="str">
        <f>IF(ISERROR(VLOOKUP($A298,通讯录!$A:$M,4,FALSE)&amp;""),"",VLOOKUP($A298,通讯录!$A:$M,4,FALSE)&amp;"")</f>
        <v/>
      </c>
      <c r="G298" s="41" t="str">
        <f>IF(ISERROR(VLOOKUP($A298,通讯录!$A:$M,8,FALSE)&amp;""),"",VLOOKUP($A298,通讯录!$A:$M,8,FALSE)&amp;"")</f>
        <v/>
      </c>
      <c r="H298" s="41"/>
      <c r="I298" s="41"/>
      <c r="J298" s="41"/>
      <c r="L298" s="28" t="str">
        <f t="shared" si="3"/>
        <v/>
      </c>
    </row>
    <row r="299" spans="2:12" x14ac:dyDescent="0.15">
      <c r="B299" s="41" t="str">
        <f>IF(ISERROR(VLOOKUP($A299,通讯录!$A:$M,3,FALSE)&amp;""),"",VLOOKUP($A299,通讯录!$A:$M,3,FALSE)&amp;"")</f>
        <v/>
      </c>
      <c r="C299" s="41" t="str">
        <f>IF(ISERROR(VLOOKUP($A299,通讯录!$A:$M,7,FALSE)&amp;""),"",VLOOKUP($A299,通讯录!$A:$M,7,FALSE)&amp;"")</f>
        <v/>
      </c>
      <c r="D299" s="41" t="str">
        <f>IF(ISERROR(VLOOKUP($A299,通讯录!$A:$M,5,FALSE)&amp;""),"",VLOOKUP($A299,通讯录!$A:$M,5,FALSE)&amp;"")</f>
        <v/>
      </c>
      <c r="E299" s="41" t="str">
        <f>IF(ISERROR(VLOOKUP($A299,通讯录!$A:$M,6,FALSE)&amp;""),"",VLOOKUP($A299,通讯录!$A:$M,6,FALSE)&amp;"")</f>
        <v/>
      </c>
      <c r="F299" s="41" t="str">
        <f>IF(ISERROR(VLOOKUP($A299,通讯录!$A:$M,4,FALSE)&amp;""),"",VLOOKUP($A299,通讯录!$A:$M,4,FALSE)&amp;"")</f>
        <v/>
      </c>
      <c r="G299" s="41" t="str">
        <f>IF(ISERROR(VLOOKUP($A299,通讯录!$A:$M,8,FALSE)&amp;""),"",VLOOKUP($A299,通讯录!$A:$M,8,FALSE)&amp;"")</f>
        <v/>
      </c>
      <c r="H299" s="41"/>
      <c r="I299" s="41"/>
      <c r="J299" s="41"/>
      <c r="L299" s="28" t="str">
        <f t="shared" si="3"/>
        <v/>
      </c>
    </row>
    <row r="300" spans="2:12" x14ac:dyDescent="0.15">
      <c r="B300" s="41" t="str">
        <f>IF(ISERROR(VLOOKUP($A300,通讯录!$A:$M,3,FALSE)&amp;""),"",VLOOKUP($A300,通讯录!$A:$M,3,FALSE)&amp;"")</f>
        <v/>
      </c>
      <c r="C300" s="41" t="str">
        <f>IF(ISERROR(VLOOKUP($A300,通讯录!$A:$M,7,FALSE)&amp;""),"",VLOOKUP($A300,通讯录!$A:$M,7,FALSE)&amp;"")</f>
        <v/>
      </c>
      <c r="D300" s="41" t="str">
        <f>IF(ISERROR(VLOOKUP($A300,通讯录!$A:$M,5,FALSE)&amp;""),"",VLOOKUP($A300,通讯录!$A:$M,5,FALSE)&amp;"")</f>
        <v/>
      </c>
      <c r="E300" s="41" t="str">
        <f>IF(ISERROR(VLOOKUP($A300,通讯录!$A:$M,6,FALSE)&amp;""),"",VLOOKUP($A300,通讯录!$A:$M,6,FALSE)&amp;"")</f>
        <v/>
      </c>
      <c r="F300" s="41" t="str">
        <f>IF(ISERROR(VLOOKUP($A300,通讯录!$A:$M,4,FALSE)&amp;""),"",VLOOKUP($A300,通讯录!$A:$M,4,FALSE)&amp;"")</f>
        <v/>
      </c>
      <c r="G300" s="41" t="str">
        <f>IF(ISERROR(VLOOKUP($A300,通讯录!$A:$M,8,FALSE)&amp;""),"",VLOOKUP($A300,通讯录!$A:$M,8,FALSE)&amp;"")</f>
        <v/>
      </c>
      <c r="H300" s="41"/>
      <c r="I300" s="41"/>
      <c r="J300" s="41"/>
      <c r="L300" s="28" t="str">
        <f t="shared" si="3"/>
        <v/>
      </c>
    </row>
    <row r="301" spans="2:12" x14ac:dyDescent="0.15">
      <c r="B301" s="41" t="str">
        <f>IF(ISERROR(VLOOKUP($A301,通讯录!$A:$M,3,FALSE)&amp;""),"",VLOOKUP($A301,通讯录!$A:$M,3,FALSE)&amp;"")</f>
        <v/>
      </c>
      <c r="C301" s="41" t="str">
        <f>IF(ISERROR(VLOOKUP($A301,通讯录!$A:$M,7,FALSE)&amp;""),"",VLOOKUP($A301,通讯录!$A:$M,7,FALSE)&amp;"")</f>
        <v/>
      </c>
      <c r="D301" s="41" t="str">
        <f>IF(ISERROR(VLOOKUP($A301,通讯录!$A:$M,5,FALSE)&amp;""),"",VLOOKUP($A301,通讯录!$A:$M,5,FALSE)&amp;"")</f>
        <v/>
      </c>
      <c r="E301" s="41" t="str">
        <f>IF(ISERROR(VLOOKUP($A301,通讯录!$A:$M,6,FALSE)&amp;""),"",VLOOKUP($A301,通讯录!$A:$M,6,FALSE)&amp;"")</f>
        <v/>
      </c>
      <c r="F301" s="41" t="str">
        <f>IF(ISERROR(VLOOKUP($A301,通讯录!$A:$M,4,FALSE)&amp;""),"",VLOOKUP($A301,通讯录!$A:$M,4,FALSE)&amp;"")</f>
        <v/>
      </c>
      <c r="G301" s="41" t="str">
        <f>IF(ISERROR(VLOOKUP($A301,通讯录!$A:$M,8,FALSE)&amp;""),"",VLOOKUP($A301,通讯录!$A:$M,8,FALSE)&amp;"")</f>
        <v/>
      </c>
      <c r="H301" s="41"/>
      <c r="I301" s="41"/>
      <c r="J301" s="41"/>
      <c r="L301" s="28" t="str">
        <f t="shared" si="3"/>
        <v/>
      </c>
    </row>
    <row r="302" spans="2:12" x14ac:dyDescent="0.15">
      <c r="B302" s="41" t="str">
        <f>IF(ISERROR(VLOOKUP($A302,通讯录!$A:$M,3,FALSE)&amp;""),"",VLOOKUP($A302,通讯录!$A:$M,3,FALSE)&amp;"")</f>
        <v/>
      </c>
      <c r="C302" s="41" t="str">
        <f>IF(ISERROR(VLOOKUP($A302,通讯录!$A:$M,7,FALSE)&amp;""),"",VLOOKUP($A302,通讯录!$A:$M,7,FALSE)&amp;"")</f>
        <v/>
      </c>
      <c r="D302" s="41" t="str">
        <f>IF(ISERROR(VLOOKUP($A302,通讯录!$A:$M,5,FALSE)&amp;""),"",VLOOKUP($A302,通讯录!$A:$M,5,FALSE)&amp;"")</f>
        <v/>
      </c>
      <c r="E302" s="41" t="str">
        <f>IF(ISERROR(VLOOKUP($A302,通讯录!$A:$M,6,FALSE)&amp;""),"",VLOOKUP($A302,通讯录!$A:$M,6,FALSE)&amp;"")</f>
        <v/>
      </c>
      <c r="F302" s="41" t="str">
        <f>IF(ISERROR(VLOOKUP($A302,通讯录!$A:$M,4,FALSE)&amp;""),"",VLOOKUP($A302,通讯录!$A:$M,4,FALSE)&amp;"")</f>
        <v/>
      </c>
      <c r="G302" s="41" t="str">
        <f>IF(ISERROR(VLOOKUP($A302,通讯录!$A:$M,8,FALSE)&amp;""),"",VLOOKUP($A302,通讯录!$A:$M,8,FALSE)&amp;"")</f>
        <v/>
      </c>
      <c r="H302" s="41"/>
      <c r="I302" s="41"/>
      <c r="J302" s="41"/>
      <c r="L302" s="28" t="str">
        <f t="shared" si="3"/>
        <v/>
      </c>
    </row>
    <row r="303" spans="2:12" x14ac:dyDescent="0.15">
      <c r="B303" s="41" t="str">
        <f>IF(ISERROR(VLOOKUP($A303,通讯录!$A:$M,3,FALSE)&amp;""),"",VLOOKUP($A303,通讯录!$A:$M,3,FALSE)&amp;"")</f>
        <v/>
      </c>
      <c r="C303" s="41" t="str">
        <f>IF(ISERROR(VLOOKUP($A303,通讯录!$A:$M,7,FALSE)&amp;""),"",VLOOKUP($A303,通讯录!$A:$M,7,FALSE)&amp;"")</f>
        <v/>
      </c>
      <c r="D303" s="41" t="str">
        <f>IF(ISERROR(VLOOKUP($A303,通讯录!$A:$M,5,FALSE)&amp;""),"",VLOOKUP($A303,通讯录!$A:$M,5,FALSE)&amp;"")</f>
        <v/>
      </c>
      <c r="E303" s="41" t="str">
        <f>IF(ISERROR(VLOOKUP($A303,通讯录!$A:$M,6,FALSE)&amp;""),"",VLOOKUP($A303,通讯录!$A:$M,6,FALSE)&amp;"")</f>
        <v/>
      </c>
      <c r="F303" s="41" t="str">
        <f>IF(ISERROR(VLOOKUP($A303,通讯录!$A:$M,4,FALSE)&amp;""),"",VLOOKUP($A303,通讯录!$A:$M,4,FALSE)&amp;"")</f>
        <v/>
      </c>
      <c r="G303" s="41" t="str">
        <f>IF(ISERROR(VLOOKUP($A303,通讯录!$A:$M,8,FALSE)&amp;""),"",VLOOKUP($A303,通讯录!$A:$M,8,FALSE)&amp;"")</f>
        <v/>
      </c>
      <c r="H303" s="41"/>
      <c r="I303" s="41"/>
      <c r="J303" s="41"/>
      <c r="L303" s="28" t="str">
        <f t="shared" si="3"/>
        <v/>
      </c>
    </row>
    <row r="304" spans="2:12" x14ac:dyDescent="0.15">
      <c r="B304" s="41" t="str">
        <f>IF(ISERROR(VLOOKUP($A304,通讯录!$A:$M,3,FALSE)&amp;""),"",VLOOKUP($A304,通讯录!$A:$M,3,FALSE)&amp;"")</f>
        <v/>
      </c>
      <c r="C304" s="41" t="str">
        <f>IF(ISERROR(VLOOKUP($A304,通讯录!$A:$M,7,FALSE)&amp;""),"",VLOOKUP($A304,通讯录!$A:$M,7,FALSE)&amp;"")</f>
        <v/>
      </c>
      <c r="D304" s="41" t="str">
        <f>IF(ISERROR(VLOOKUP($A304,通讯录!$A:$M,5,FALSE)&amp;""),"",VLOOKUP($A304,通讯录!$A:$M,5,FALSE)&amp;"")</f>
        <v/>
      </c>
      <c r="E304" s="41" t="str">
        <f>IF(ISERROR(VLOOKUP($A304,通讯录!$A:$M,6,FALSE)&amp;""),"",VLOOKUP($A304,通讯录!$A:$M,6,FALSE)&amp;"")</f>
        <v/>
      </c>
      <c r="F304" s="41" t="str">
        <f>IF(ISERROR(VLOOKUP($A304,通讯录!$A:$M,4,FALSE)&amp;""),"",VLOOKUP($A304,通讯录!$A:$M,4,FALSE)&amp;"")</f>
        <v/>
      </c>
      <c r="G304" s="41" t="str">
        <f>IF(ISERROR(VLOOKUP($A304,通讯录!$A:$M,8,FALSE)&amp;""),"",VLOOKUP($A304,通讯录!$A:$M,8,FALSE)&amp;"")</f>
        <v/>
      </c>
      <c r="H304" s="41"/>
      <c r="I304" s="41"/>
      <c r="J304" s="41"/>
      <c r="L304" s="28" t="str">
        <f t="shared" si="3"/>
        <v/>
      </c>
    </row>
    <row r="305" spans="2:12" x14ac:dyDescent="0.15">
      <c r="B305" s="41" t="str">
        <f>IF(ISERROR(VLOOKUP($A305,通讯录!$A:$M,3,FALSE)&amp;""),"",VLOOKUP($A305,通讯录!$A:$M,3,FALSE)&amp;"")</f>
        <v/>
      </c>
      <c r="C305" s="41" t="str">
        <f>IF(ISERROR(VLOOKUP($A305,通讯录!$A:$M,7,FALSE)&amp;""),"",VLOOKUP($A305,通讯录!$A:$M,7,FALSE)&amp;"")</f>
        <v/>
      </c>
      <c r="D305" s="41" t="str">
        <f>IF(ISERROR(VLOOKUP($A305,通讯录!$A:$M,5,FALSE)&amp;""),"",VLOOKUP($A305,通讯录!$A:$M,5,FALSE)&amp;"")</f>
        <v/>
      </c>
      <c r="E305" s="41" t="str">
        <f>IF(ISERROR(VLOOKUP($A305,通讯录!$A:$M,6,FALSE)&amp;""),"",VLOOKUP($A305,通讯录!$A:$M,6,FALSE)&amp;"")</f>
        <v/>
      </c>
      <c r="F305" s="41" t="str">
        <f>IF(ISERROR(VLOOKUP($A305,通讯录!$A:$M,4,FALSE)&amp;""),"",VLOOKUP($A305,通讯录!$A:$M,4,FALSE)&amp;"")</f>
        <v/>
      </c>
      <c r="G305" s="41" t="str">
        <f>IF(ISERROR(VLOOKUP($A305,通讯录!$A:$M,8,FALSE)&amp;""),"",VLOOKUP($A305,通讯录!$A:$M,8,FALSE)&amp;"")</f>
        <v/>
      </c>
      <c r="H305" s="41"/>
      <c r="I305" s="41"/>
      <c r="J305" s="41"/>
      <c r="L305" s="28" t="str">
        <f t="shared" si="3"/>
        <v/>
      </c>
    </row>
    <row r="306" spans="2:12" x14ac:dyDescent="0.15">
      <c r="B306" s="41" t="str">
        <f>IF(ISERROR(VLOOKUP($A306,通讯录!$A:$M,3,FALSE)&amp;""),"",VLOOKUP($A306,通讯录!$A:$M,3,FALSE)&amp;"")</f>
        <v/>
      </c>
      <c r="C306" s="41" t="str">
        <f>IF(ISERROR(VLOOKUP($A306,通讯录!$A:$M,7,FALSE)&amp;""),"",VLOOKUP($A306,通讯录!$A:$M,7,FALSE)&amp;"")</f>
        <v/>
      </c>
      <c r="D306" s="41" t="str">
        <f>IF(ISERROR(VLOOKUP($A306,通讯录!$A:$M,5,FALSE)&amp;""),"",VLOOKUP($A306,通讯录!$A:$M,5,FALSE)&amp;"")</f>
        <v/>
      </c>
      <c r="E306" s="41" t="str">
        <f>IF(ISERROR(VLOOKUP($A306,通讯录!$A:$M,6,FALSE)&amp;""),"",VLOOKUP($A306,通讯录!$A:$M,6,FALSE)&amp;"")</f>
        <v/>
      </c>
      <c r="F306" s="41" t="str">
        <f>IF(ISERROR(VLOOKUP($A306,通讯录!$A:$M,4,FALSE)&amp;""),"",VLOOKUP($A306,通讯录!$A:$M,4,FALSE)&amp;"")</f>
        <v/>
      </c>
      <c r="G306" s="41" t="str">
        <f>IF(ISERROR(VLOOKUP($A306,通讯录!$A:$M,8,FALSE)&amp;""),"",VLOOKUP($A306,通讯录!$A:$M,8,FALSE)&amp;"")</f>
        <v/>
      </c>
      <c r="H306" s="41"/>
      <c r="I306" s="41"/>
      <c r="J306" s="41"/>
      <c r="L306" s="28" t="str">
        <f t="shared" si="3"/>
        <v/>
      </c>
    </row>
    <row r="307" spans="2:12" x14ac:dyDescent="0.15">
      <c r="B307" s="41" t="str">
        <f>IF(ISERROR(VLOOKUP($A307,通讯录!$A:$M,3,FALSE)&amp;""),"",VLOOKUP($A307,通讯录!$A:$M,3,FALSE)&amp;"")</f>
        <v/>
      </c>
      <c r="C307" s="41" t="str">
        <f>IF(ISERROR(VLOOKUP($A307,通讯录!$A:$M,7,FALSE)&amp;""),"",VLOOKUP($A307,通讯录!$A:$M,7,FALSE)&amp;"")</f>
        <v/>
      </c>
      <c r="D307" s="41" t="str">
        <f>IF(ISERROR(VLOOKUP($A307,通讯录!$A:$M,5,FALSE)&amp;""),"",VLOOKUP($A307,通讯录!$A:$M,5,FALSE)&amp;"")</f>
        <v/>
      </c>
      <c r="E307" s="41" t="str">
        <f>IF(ISERROR(VLOOKUP($A307,通讯录!$A:$M,6,FALSE)&amp;""),"",VLOOKUP($A307,通讯录!$A:$M,6,FALSE)&amp;"")</f>
        <v/>
      </c>
      <c r="F307" s="41" t="str">
        <f>IF(ISERROR(VLOOKUP($A307,通讯录!$A:$M,4,FALSE)&amp;""),"",VLOOKUP($A307,通讯录!$A:$M,4,FALSE)&amp;"")</f>
        <v/>
      </c>
      <c r="G307" s="41" t="str">
        <f>IF(ISERROR(VLOOKUP($A307,通讯录!$A:$M,8,FALSE)&amp;""),"",VLOOKUP($A307,通讯录!$A:$M,8,FALSE)&amp;"")</f>
        <v/>
      </c>
      <c r="H307" s="41"/>
      <c r="I307" s="41"/>
      <c r="J307" s="41"/>
      <c r="L307" s="28" t="str">
        <f t="shared" ref="L307:L353" si="4">LEFT(A307,1)</f>
        <v/>
      </c>
    </row>
    <row r="308" spans="2:12" x14ac:dyDescent="0.15">
      <c r="B308" s="41" t="str">
        <f>IF(ISERROR(VLOOKUP($A308,通讯录!$A:$M,3,FALSE)&amp;""),"",VLOOKUP($A308,通讯录!$A:$M,3,FALSE)&amp;"")</f>
        <v/>
      </c>
      <c r="C308" s="41" t="str">
        <f>IF(ISERROR(VLOOKUP($A308,通讯录!$A:$M,7,FALSE)&amp;""),"",VLOOKUP($A308,通讯录!$A:$M,7,FALSE)&amp;"")</f>
        <v/>
      </c>
      <c r="D308" s="41" t="str">
        <f>IF(ISERROR(VLOOKUP($A308,通讯录!$A:$M,5,FALSE)&amp;""),"",VLOOKUP($A308,通讯录!$A:$M,5,FALSE)&amp;"")</f>
        <v/>
      </c>
      <c r="E308" s="41" t="str">
        <f>IF(ISERROR(VLOOKUP($A308,通讯录!$A:$M,6,FALSE)&amp;""),"",VLOOKUP($A308,通讯录!$A:$M,6,FALSE)&amp;"")</f>
        <v/>
      </c>
      <c r="F308" s="41" t="str">
        <f>IF(ISERROR(VLOOKUP($A308,通讯录!$A:$M,4,FALSE)&amp;""),"",VLOOKUP($A308,通讯录!$A:$M,4,FALSE)&amp;"")</f>
        <v/>
      </c>
      <c r="G308" s="41" t="str">
        <f>IF(ISERROR(VLOOKUP($A308,通讯录!$A:$M,8,FALSE)&amp;""),"",VLOOKUP($A308,通讯录!$A:$M,8,FALSE)&amp;"")</f>
        <v/>
      </c>
      <c r="H308" s="41"/>
      <c r="I308" s="41"/>
      <c r="J308" s="41"/>
      <c r="L308" s="28" t="str">
        <f t="shared" si="4"/>
        <v/>
      </c>
    </row>
    <row r="309" spans="2:12" x14ac:dyDescent="0.15">
      <c r="B309" s="41" t="str">
        <f>IF(ISERROR(VLOOKUP($A309,通讯录!$A:$M,3,FALSE)&amp;""),"",VLOOKUP($A309,通讯录!$A:$M,3,FALSE)&amp;"")</f>
        <v/>
      </c>
      <c r="C309" s="41" t="str">
        <f>IF(ISERROR(VLOOKUP($A309,通讯录!$A:$M,7,FALSE)&amp;""),"",VLOOKUP($A309,通讯录!$A:$M,7,FALSE)&amp;"")</f>
        <v/>
      </c>
      <c r="D309" s="41" t="str">
        <f>IF(ISERROR(VLOOKUP($A309,通讯录!$A:$M,5,FALSE)&amp;""),"",VLOOKUP($A309,通讯录!$A:$M,5,FALSE)&amp;"")</f>
        <v/>
      </c>
      <c r="E309" s="41" t="str">
        <f>IF(ISERROR(VLOOKUP($A309,通讯录!$A:$M,6,FALSE)&amp;""),"",VLOOKUP($A309,通讯录!$A:$M,6,FALSE)&amp;"")</f>
        <v/>
      </c>
      <c r="F309" s="41" t="str">
        <f>IF(ISERROR(VLOOKUP($A309,通讯录!$A:$M,4,FALSE)&amp;""),"",VLOOKUP($A309,通讯录!$A:$M,4,FALSE)&amp;"")</f>
        <v/>
      </c>
      <c r="G309" s="41" t="str">
        <f>IF(ISERROR(VLOOKUP($A309,通讯录!$A:$M,8,FALSE)&amp;""),"",VLOOKUP($A309,通讯录!$A:$M,8,FALSE)&amp;"")</f>
        <v/>
      </c>
      <c r="H309" s="41"/>
      <c r="I309" s="41"/>
      <c r="J309" s="41"/>
      <c r="L309" s="28" t="str">
        <f t="shared" si="4"/>
        <v/>
      </c>
    </row>
    <row r="310" spans="2:12" x14ac:dyDescent="0.15">
      <c r="B310" s="41" t="str">
        <f>IF(ISERROR(VLOOKUP($A310,通讯录!$A:$M,3,FALSE)&amp;""),"",VLOOKUP($A310,通讯录!$A:$M,3,FALSE)&amp;"")</f>
        <v/>
      </c>
      <c r="C310" s="41" t="str">
        <f>IF(ISERROR(VLOOKUP($A310,通讯录!$A:$M,7,FALSE)&amp;""),"",VLOOKUP($A310,通讯录!$A:$M,7,FALSE)&amp;"")</f>
        <v/>
      </c>
      <c r="D310" s="41" t="str">
        <f>IF(ISERROR(VLOOKUP($A310,通讯录!$A:$M,5,FALSE)&amp;""),"",VLOOKUP($A310,通讯录!$A:$M,5,FALSE)&amp;"")</f>
        <v/>
      </c>
      <c r="E310" s="41" t="str">
        <f>IF(ISERROR(VLOOKUP($A310,通讯录!$A:$M,6,FALSE)&amp;""),"",VLOOKUP($A310,通讯录!$A:$M,6,FALSE)&amp;"")</f>
        <v/>
      </c>
      <c r="F310" s="41" t="str">
        <f>IF(ISERROR(VLOOKUP($A310,通讯录!$A:$M,4,FALSE)&amp;""),"",VLOOKUP($A310,通讯录!$A:$M,4,FALSE)&amp;"")</f>
        <v/>
      </c>
      <c r="G310" s="41" t="str">
        <f>IF(ISERROR(VLOOKUP($A310,通讯录!$A:$M,8,FALSE)&amp;""),"",VLOOKUP($A310,通讯录!$A:$M,8,FALSE)&amp;"")</f>
        <v/>
      </c>
      <c r="H310" s="41"/>
      <c r="I310" s="41"/>
      <c r="J310" s="41"/>
      <c r="L310" s="28" t="str">
        <f t="shared" si="4"/>
        <v/>
      </c>
    </row>
    <row r="311" spans="2:12" x14ac:dyDescent="0.15">
      <c r="B311" s="41" t="str">
        <f>IF(ISERROR(VLOOKUP($A311,通讯录!$A:$M,3,FALSE)&amp;""),"",VLOOKUP($A311,通讯录!$A:$M,3,FALSE)&amp;"")</f>
        <v/>
      </c>
      <c r="C311" s="41" t="str">
        <f>IF(ISERROR(VLOOKUP($A311,通讯录!$A:$M,7,FALSE)&amp;""),"",VLOOKUP($A311,通讯录!$A:$M,7,FALSE)&amp;"")</f>
        <v/>
      </c>
      <c r="D311" s="41" t="str">
        <f>IF(ISERROR(VLOOKUP($A311,通讯录!$A:$M,5,FALSE)&amp;""),"",VLOOKUP($A311,通讯录!$A:$M,5,FALSE)&amp;"")</f>
        <v/>
      </c>
      <c r="E311" s="41" t="str">
        <f>IF(ISERROR(VLOOKUP($A311,通讯录!$A:$M,6,FALSE)&amp;""),"",VLOOKUP($A311,通讯录!$A:$M,6,FALSE)&amp;"")</f>
        <v/>
      </c>
      <c r="F311" s="41" t="str">
        <f>IF(ISERROR(VLOOKUP($A311,通讯录!$A:$M,4,FALSE)&amp;""),"",VLOOKUP($A311,通讯录!$A:$M,4,FALSE)&amp;"")</f>
        <v/>
      </c>
      <c r="G311" s="41" t="str">
        <f>IF(ISERROR(VLOOKUP($A311,通讯录!$A:$M,8,FALSE)&amp;""),"",VLOOKUP($A311,通讯录!$A:$M,8,FALSE)&amp;"")</f>
        <v/>
      </c>
      <c r="H311" s="41"/>
      <c r="I311" s="41"/>
      <c r="J311" s="41"/>
      <c r="L311" s="28" t="str">
        <f t="shared" si="4"/>
        <v/>
      </c>
    </row>
    <row r="312" spans="2:12" x14ac:dyDescent="0.15">
      <c r="B312" s="41" t="str">
        <f>IF(ISERROR(VLOOKUP($A312,通讯录!$A:$M,3,FALSE)&amp;""),"",VLOOKUP($A312,通讯录!$A:$M,3,FALSE)&amp;"")</f>
        <v/>
      </c>
      <c r="C312" s="41" t="str">
        <f>IF(ISERROR(VLOOKUP($A312,通讯录!$A:$M,7,FALSE)&amp;""),"",VLOOKUP($A312,通讯录!$A:$M,7,FALSE)&amp;"")</f>
        <v/>
      </c>
      <c r="D312" s="41" t="str">
        <f>IF(ISERROR(VLOOKUP($A312,通讯录!$A:$M,5,FALSE)&amp;""),"",VLOOKUP($A312,通讯录!$A:$M,5,FALSE)&amp;"")</f>
        <v/>
      </c>
      <c r="E312" s="41" t="str">
        <f>IF(ISERROR(VLOOKUP($A312,通讯录!$A:$M,6,FALSE)&amp;""),"",VLOOKUP($A312,通讯录!$A:$M,6,FALSE)&amp;"")</f>
        <v/>
      </c>
      <c r="F312" s="41" t="str">
        <f>IF(ISERROR(VLOOKUP($A312,通讯录!$A:$M,4,FALSE)&amp;""),"",VLOOKUP($A312,通讯录!$A:$M,4,FALSE)&amp;"")</f>
        <v/>
      </c>
      <c r="G312" s="41" t="str">
        <f>IF(ISERROR(VLOOKUP($A312,通讯录!$A:$M,8,FALSE)&amp;""),"",VLOOKUP($A312,通讯录!$A:$M,8,FALSE)&amp;"")</f>
        <v/>
      </c>
      <c r="H312" s="41"/>
      <c r="I312" s="41"/>
      <c r="J312" s="41"/>
      <c r="L312" s="28" t="str">
        <f t="shared" si="4"/>
        <v/>
      </c>
    </row>
    <row r="313" spans="2:12" x14ac:dyDescent="0.15">
      <c r="B313" s="41" t="str">
        <f>IF(ISERROR(VLOOKUP($A313,通讯录!$A:$M,3,FALSE)&amp;""),"",VLOOKUP($A313,通讯录!$A:$M,3,FALSE)&amp;"")</f>
        <v/>
      </c>
      <c r="C313" s="41" t="str">
        <f>IF(ISERROR(VLOOKUP($A313,通讯录!$A:$M,7,FALSE)&amp;""),"",VLOOKUP($A313,通讯录!$A:$M,7,FALSE)&amp;"")</f>
        <v/>
      </c>
      <c r="D313" s="41" t="str">
        <f>IF(ISERROR(VLOOKUP($A313,通讯录!$A:$M,5,FALSE)&amp;""),"",VLOOKUP($A313,通讯录!$A:$M,5,FALSE)&amp;"")</f>
        <v/>
      </c>
      <c r="E313" s="41" t="str">
        <f>IF(ISERROR(VLOOKUP($A313,通讯录!$A:$M,6,FALSE)&amp;""),"",VLOOKUP($A313,通讯录!$A:$M,6,FALSE)&amp;"")</f>
        <v/>
      </c>
      <c r="F313" s="41" t="str">
        <f>IF(ISERROR(VLOOKUP($A313,通讯录!$A:$M,4,FALSE)&amp;""),"",VLOOKUP($A313,通讯录!$A:$M,4,FALSE)&amp;"")</f>
        <v/>
      </c>
      <c r="G313" s="41" t="str">
        <f>IF(ISERROR(VLOOKUP($A313,通讯录!$A:$M,8,FALSE)&amp;""),"",VLOOKUP($A313,通讯录!$A:$M,8,FALSE)&amp;"")</f>
        <v/>
      </c>
      <c r="H313" s="41"/>
      <c r="I313" s="41"/>
      <c r="J313" s="41"/>
      <c r="L313" s="28" t="str">
        <f t="shared" si="4"/>
        <v/>
      </c>
    </row>
    <row r="314" spans="2:12" x14ac:dyDescent="0.15">
      <c r="B314" s="41" t="str">
        <f>IF(ISERROR(VLOOKUP($A314,通讯录!$A:$M,3,FALSE)&amp;""),"",VLOOKUP($A314,通讯录!$A:$M,3,FALSE)&amp;"")</f>
        <v/>
      </c>
      <c r="C314" s="41" t="str">
        <f>IF(ISERROR(VLOOKUP($A314,通讯录!$A:$M,7,FALSE)&amp;""),"",VLOOKUP($A314,通讯录!$A:$M,7,FALSE)&amp;"")</f>
        <v/>
      </c>
      <c r="D314" s="41" t="str">
        <f>IF(ISERROR(VLOOKUP($A314,通讯录!$A:$M,5,FALSE)&amp;""),"",VLOOKUP($A314,通讯录!$A:$M,5,FALSE)&amp;"")</f>
        <v/>
      </c>
      <c r="E314" s="41" t="str">
        <f>IF(ISERROR(VLOOKUP($A314,通讯录!$A:$M,6,FALSE)&amp;""),"",VLOOKUP($A314,通讯录!$A:$M,6,FALSE)&amp;"")</f>
        <v/>
      </c>
      <c r="F314" s="41" t="str">
        <f>IF(ISERROR(VLOOKUP($A314,通讯录!$A:$M,4,FALSE)&amp;""),"",VLOOKUP($A314,通讯录!$A:$M,4,FALSE)&amp;"")</f>
        <v/>
      </c>
      <c r="G314" s="41" t="str">
        <f>IF(ISERROR(VLOOKUP($A314,通讯录!$A:$M,8,FALSE)&amp;""),"",VLOOKUP($A314,通讯录!$A:$M,8,FALSE)&amp;"")</f>
        <v/>
      </c>
      <c r="H314" s="41"/>
      <c r="I314" s="41"/>
      <c r="J314" s="41"/>
      <c r="L314" s="28" t="str">
        <f t="shared" si="4"/>
        <v/>
      </c>
    </row>
    <row r="315" spans="2:12" x14ac:dyDescent="0.15">
      <c r="B315" s="41" t="str">
        <f>IF(ISERROR(VLOOKUP($A315,通讯录!$A:$M,3,FALSE)&amp;""),"",VLOOKUP($A315,通讯录!$A:$M,3,FALSE)&amp;"")</f>
        <v/>
      </c>
      <c r="C315" s="41" t="str">
        <f>IF(ISERROR(VLOOKUP($A315,通讯录!$A:$M,7,FALSE)&amp;""),"",VLOOKUP($A315,通讯录!$A:$M,7,FALSE)&amp;"")</f>
        <v/>
      </c>
      <c r="D315" s="41" t="str">
        <f>IF(ISERROR(VLOOKUP($A315,通讯录!$A:$M,5,FALSE)&amp;""),"",VLOOKUP($A315,通讯录!$A:$M,5,FALSE)&amp;"")</f>
        <v/>
      </c>
      <c r="E315" s="41" t="str">
        <f>IF(ISERROR(VLOOKUP($A315,通讯录!$A:$M,6,FALSE)&amp;""),"",VLOOKUP($A315,通讯录!$A:$M,6,FALSE)&amp;"")</f>
        <v/>
      </c>
      <c r="F315" s="41" t="str">
        <f>IF(ISERROR(VLOOKUP($A315,通讯录!$A:$M,4,FALSE)&amp;""),"",VLOOKUP($A315,通讯录!$A:$M,4,FALSE)&amp;"")</f>
        <v/>
      </c>
      <c r="G315" s="41" t="str">
        <f>IF(ISERROR(VLOOKUP($A315,通讯录!$A:$M,8,FALSE)&amp;""),"",VLOOKUP($A315,通讯录!$A:$M,8,FALSE)&amp;"")</f>
        <v/>
      </c>
      <c r="H315" s="41"/>
      <c r="I315" s="41"/>
      <c r="J315" s="41"/>
      <c r="L315" s="28" t="str">
        <f t="shared" si="4"/>
        <v/>
      </c>
    </row>
    <row r="316" spans="2:12" x14ac:dyDescent="0.15">
      <c r="B316" s="41" t="str">
        <f>IF(ISERROR(VLOOKUP($A316,通讯录!$A:$M,3,FALSE)&amp;""),"",VLOOKUP($A316,通讯录!$A:$M,3,FALSE)&amp;"")</f>
        <v/>
      </c>
      <c r="C316" s="41" t="str">
        <f>IF(ISERROR(VLOOKUP($A316,通讯录!$A:$M,7,FALSE)&amp;""),"",VLOOKUP($A316,通讯录!$A:$M,7,FALSE)&amp;"")</f>
        <v/>
      </c>
      <c r="D316" s="41" t="str">
        <f>IF(ISERROR(VLOOKUP($A316,通讯录!$A:$M,5,FALSE)&amp;""),"",VLOOKUP($A316,通讯录!$A:$M,5,FALSE)&amp;"")</f>
        <v/>
      </c>
      <c r="E316" s="41" t="str">
        <f>IF(ISERROR(VLOOKUP($A316,通讯录!$A:$M,6,FALSE)&amp;""),"",VLOOKUP($A316,通讯录!$A:$M,6,FALSE)&amp;"")</f>
        <v/>
      </c>
      <c r="F316" s="41" t="str">
        <f>IF(ISERROR(VLOOKUP($A316,通讯录!$A:$M,4,FALSE)&amp;""),"",VLOOKUP($A316,通讯录!$A:$M,4,FALSE)&amp;"")</f>
        <v/>
      </c>
      <c r="G316" s="41" t="str">
        <f>IF(ISERROR(VLOOKUP($A316,通讯录!$A:$M,8,FALSE)&amp;""),"",VLOOKUP($A316,通讯录!$A:$M,8,FALSE)&amp;"")</f>
        <v/>
      </c>
      <c r="H316" s="41"/>
      <c r="I316" s="41"/>
      <c r="J316" s="41"/>
      <c r="L316" s="28" t="str">
        <f t="shared" si="4"/>
        <v/>
      </c>
    </row>
    <row r="317" spans="2:12" x14ac:dyDescent="0.15">
      <c r="B317" s="41" t="str">
        <f>IF(ISERROR(VLOOKUP($A317,通讯录!$A:$M,3,FALSE)&amp;""),"",VLOOKUP($A317,通讯录!$A:$M,3,FALSE)&amp;"")</f>
        <v/>
      </c>
      <c r="C317" s="41" t="str">
        <f>IF(ISERROR(VLOOKUP($A317,通讯录!$A:$M,7,FALSE)&amp;""),"",VLOOKUP($A317,通讯录!$A:$M,7,FALSE)&amp;"")</f>
        <v/>
      </c>
      <c r="D317" s="41" t="str">
        <f>IF(ISERROR(VLOOKUP($A317,通讯录!$A:$M,5,FALSE)&amp;""),"",VLOOKUP($A317,通讯录!$A:$M,5,FALSE)&amp;"")</f>
        <v/>
      </c>
      <c r="E317" s="41" t="str">
        <f>IF(ISERROR(VLOOKUP($A317,通讯录!$A:$M,6,FALSE)&amp;""),"",VLOOKUP($A317,通讯录!$A:$M,6,FALSE)&amp;"")</f>
        <v/>
      </c>
      <c r="F317" s="41" t="str">
        <f>IF(ISERROR(VLOOKUP($A317,通讯录!$A:$M,4,FALSE)&amp;""),"",VLOOKUP($A317,通讯录!$A:$M,4,FALSE)&amp;"")</f>
        <v/>
      </c>
      <c r="G317" s="41" t="str">
        <f>IF(ISERROR(VLOOKUP($A317,通讯录!$A:$M,8,FALSE)&amp;""),"",VLOOKUP($A317,通讯录!$A:$M,8,FALSE)&amp;"")</f>
        <v/>
      </c>
      <c r="H317" s="41"/>
      <c r="I317" s="41"/>
      <c r="J317" s="41"/>
      <c r="L317" s="28" t="str">
        <f t="shared" si="4"/>
        <v/>
      </c>
    </row>
    <row r="318" spans="2:12" x14ac:dyDescent="0.15">
      <c r="B318" s="41" t="str">
        <f>IF(ISERROR(VLOOKUP($A318,通讯录!$A:$M,3,FALSE)&amp;""),"",VLOOKUP($A318,通讯录!$A:$M,3,FALSE)&amp;"")</f>
        <v/>
      </c>
      <c r="C318" s="41" t="str">
        <f>IF(ISERROR(VLOOKUP($A318,通讯录!$A:$M,7,FALSE)&amp;""),"",VLOOKUP($A318,通讯录!$A:$M,7,FALSE)&amp;"")</f>
        <v/>
      </c>
      <c r="D318" s="41" t="str">
        <f>IF(ISERROR(VLOOKUP($A318,通讯录!$A:$M,5,FALSE)&amp;""),"",VLOOKUP($A318,通讯录!$A:$M,5,FALSE)&amp;"")</f>
        <v/>
      </c>
      <c r="E318" s="41" t="str">
        <f>IF(ISERROR(VLOOKUP($A318,通讯录!$A:$M,6,FALSE)&amp;""),"",VLOOKUP($A318,通讯录!$A:$M,6,FALSE)&amp;"")</f>
        <v/>
      </c>
      <c r="F318" s="41" t="str">
        <f>IF(ISERROR(VLOOKUP($A318,通讯录!$A:$M,4,FALSE)&amp;""),"",VLOOKUP($A318,通讯录!$A:$M,4,FALSE)&amp;"")</f>
        <v/>
      </c>
      <c r="G318" s="41" t="str">
        <f>IF(ISERROR(VLOOKUP($A318,通讯录!$A:$M,8,FALSE)&amp;""),"",VLOOKUP($A318,通讯录!$A:$M,8,FALSE)&amp;"")</f>
        <v/>
      </c>
      <c r="H318" s="41"/>
      <c r="I318" s="41"/>
      <c r="J318" s="41"/>
      <c r="L318" s="28" t="str">
        <f t="shared" si="4"/>
        <v/>
      </c>
    </row>
    <row r="319" spans="2:12" x14ac:dyDescent="0.15">
      <c r="B319" s="41" t="str">
        <f>IF(ISERROR(VLOOKUP($A319,通讯录!$A:$M,3,FALSE)&amp;""),"",VLOOKUP($A319,通讯录!$A:$M,3,FALSE)&amp;"")</f>
        <v/>
      </c>
      <c r="C319" s="41" t="str">
        <f>IF(ISERROR(VLOOKUP($A319,通讯录!$A:$M,7,FALSE)&amp;""),"",VLOOKUP($A319,通讯录!$A:$M,7,FALSE)&amp;"")</f>
        <v/>
      </c>
      <c r="D319" s="41" t="str">
        <f>IF(ISERROR(VLOOKUP($A319,通讯录!$A:$M,5,FALSE)&amp;""),"",VLOOKUP($A319,通讯录!$A:$M,5,FALSE)&amp;"")</f>
        <v/>
      </c>
      <c r="E319" s="41" t="str">
        <f>IF(ISERROR(VLOOKUP($A319,通讯录!$A:$M,6,FALSE)&amp;""),"",VLOOKUP($A319,通讯录!$A:$M,6,FALSE)&amp;"")</f>
        <v/>
      </c>
      <c r="F319" s="41" t="str">
        <f>IF(ISERROR(VLOOKUP($A319,通讯录!$A:$M,4,FALSE)&amp;""),"",VLOOKUP($A319,通讯录!$A:$M,4,FALSE)&amp;"")</f>
        <v/>
      </c>
      <c r="G319" s="41" t="str">
        <f>IF(ISERROR(VLOOKUP($A319,通讯录!$A:$M,8,FALSE)&amp;""),"",VLOOKUP($A319,通讯录!$A:$M,8,FALSE)&amp;"")</f>
        <v/>
      </c>
      <c r="H319" s="41"/>
      <c r="I319" s="41"/>
      <c r="J319" s="41"/>
      <c r="L319" s="28" t="str">
        <f t="shared" si="4"/>
        <v/>
      </c>
    </row>
    <row r="320" spans="2:12" x14ac:dyDescent="0.15">
      <c r="B320" s="41" t="str">
        <f>IF(ISERROR(VLOOKUP($A320,通讯录!$A:$M,3,FALSE)&amp;""),"",VLOOKUP($A320,通讯录!$A:$M,3,FALSE)&amp;"")</f>
        <v/>
      </c>
      <c r="C320" s="41" t="str">
        <f>IF(ISERROR(VLOOKUP($A320,通讯录!$A:$M,7,FALSE)&amp;""),"",VLOOKUP($A320,通讯录!$A:$M,7,FALSE)&amp;"")</f>
        <v/>
      </c>
      <c r="D320" s="41" t="str">
        <f>IF(ISERROR(VLOOKUP($A320,通讯录!$A:$M,5,FALSE)&amp;""),"",VLOOKUP($A320,通讯录!$A:$M,5,FALSE)&amp;"")</f>
        <v/>
      </c>
      <c r="E320" s="41" t="str">
        <f>IF(ISERROR(VLOOKUP($A320,通讯录!$A:$M,6,FALSE)&amp;""),"",VLOOKUP($A320,通讯录!$A:$M,6,FALSE)&amp;"")</f>
        <v/>
      </c>
      <c r="F320" s="41" t="str">
        <f>IF(ISERROR(VLOOKUP($A320,通讯录!$A:$M,4,FALSE)&amp;""),"",VLOOKUP($A320,通讯录!$A:$M,4,FALSE)&amp;"")</f>
        <v/>
      </c>
      <c r="G320" s="41" t="str">
        <f>IF(ISERROR(VLOOKUP($A320,通讯录!$A:$M,8,FALSE)&amp;""),"",VLOOKUP($A320,通讯录!$A:$M,8,FALSE)&amp;"")</f>
        <v/>
      </c>
      <c r="H320" s="41"/>
      <c r="I320" s="41"/>
      <c r="J320" s="41"/>
      <c r="L320" s="28" t="str">
        <f t="shared" si="4"/>
        <v/>
      </c>
    </row>
    <row r="321" spans="2:12" x14ac:dyDescent="0.15">
      <c r="B321" s="41" t="str">
        <f>IF(ISERROR(VLOOKUP($A321,通讯录!$A:$M,3,FALSE)&amp;""),"",VLOOKUP($A321,通讯录!$A:$M,3,FALSE)&amp;"")</f>
        <v/>
      </c>
      <c r="C321" s="41" t="str">
        <f>IF(ISERROR(VLOOKUP($A321,通讯录!$A:$M,7,FALSE)&amp;""),"",VLOOKUP($A321,通讯录!$A:$M,7,FALSE)&amp;"")</f>
        <v/>
      </c>
      <c r="D321" s="41" t="str">
        <f>IF(ISERROR(VLOOKUP($A321,通讯录!$A:$M,5,FALSE)&amp;""),"",VLOOKUP($A321,通讯录!$A:$M,5,FALSE)&amp;"")</f>
        <v/>
      </c>
      <c r="E321" s="41" t="str">
        <f>IF(ISERROR(VLOOKUP($A321,通讯录!$A:$M,6,FALSE)&amp;""),"",VLOOKUP($A321,通讯录!$A:$M,6,FALSE)&amp;"")</f>
        <v/>
      </c>
      <c r="F321" s="41" t="str">
        <f>IF(ISERROR(VLOOKUP($A321,通讯录!$A:$M,4,FALSE)&amp;""),"",VLOOKUP($A321,通讯录!$A:$M,4,FALSE)&amp;"")</f>
        <v/>
      </c>
      <c r="G321" s="41" t="str">
        <f>IF(ISERROR(VLOOKUP($A321,通讯录!$A:$M,8,FALSE)&amp;""),"",VLOOKUP($A321,通讯录!$A:$M,8,FALSE)&amp;"")</f>
        <v/>
      </c>
      <c r="H321" s="41"/>
      <c r="I321" s="41"/>
      <c r="J321" s="41"/>
      <c r="L321" s="28" t="str">
        <f t="shared" si="4"/>
        <v/>
      </c>
    </row>
    <row r="322" spans="2:12" x14ac:dyDescent="0.15">
      <c r="B322" s="41" t="str">
        <f>IF(ISERROR(VLOOKUP($A322,通讯录!$A:$M,3,FALSE)&amp;""),"",VLOOKUP($A322,通讯录!$A:$M,3,FALSE)&amp;"")</f>
        <v/>
      </c>
      <c r="C322" s="41" t="str">
        <f>IF(ISERROR(VLOOKUP($A322,通讯录!$A:$M,7,FALSE)&amp;""),"",VLOOKUP($A322,通讯录!$A:$M,7,FALSE)&amp;"")</f>
        <v/>
      </c>
      <c r="D322" s="41" t="str">
        <f>IF(ISERROR(VLOOKUP($A322,通讯录!$A:$M,5,FALSE)&amp;""),"",VLOOKUP($A322,通讯录!$A:$M,5,FALSE)&amp;"")</f>
        <v/>
      </c>
      <c r="E322" s="41" t="str">
        <f>IF(ISERROR(VLOOKUP($A322,通讯录!$A:$M,6,FALSE)&amp;""),"",VLOOKUP($A322,通讯录!$A:$M,6,FALSE)&amp;"")</f>
        <v/>
      </c>
      <c r="F322" s="41" t="str">
        <f>IF(ISERROR(VLOOKUP($A322,通讯录!$A:$M,4,FALSE)&amp;""),"",VLOOKUP($A322,通讯录!$A:$M,4,FALSE)&amp;"")</f>
        <v/>
      </c>
      <c r="G322" s="41" t="str">
        <f>IF(ISERROR(VLOOKUP($A322,通讯录!$A:$M,8,FALSE)&amp;""),"",VLOOKUP($A322,通讯录!$A:$M,8,FALSE)&amp;"")</f>
        <v/>
      </c>
      <c r="H322" s="41"/>
      <c r="I322" s="41"/>
      <c r="J322" s="41"/>
      <c r="L322" s="28" t="str">
        <f t="shared" si="4"/>
        <v/>
      </c>
    </row>
    <row r="323" spans="2:12" x14ac:dyDescent="0.15">
      <c r="B323" s="41" t="str">
        <f>IF(ISERROR(VLOOKUP($A323,通讯录!$A:$M,3,FALSE)&amp;""),"",VLOOKUP($A323,通讯录!$A:$M,3,FALSE)&amp;"")</f>
        <v/>
      </c>
      <c r="C323" s="41" t="str">
        <f>IF(ISERROR(VLOOKUP($A323,通讯录!$A:$M,7,FALSE)&amp;""),"",VLOOKUP($A323,通讯录!$A:$M,7,FALSE)&amp;"")</f>
        <v/>
      </c>
      <c r="D323" s="41" t="str">
        <f>IF(ISERROR(VLOOKUP($A323,通讯录!$A:$M,5,FALSE)&amp;""),"",VLOOKUP($A323,通讯录!$A:$M,5,FALSE)&amp;"")</f>
        <v/>
      </c>
      <c r="E323" s="41" t="str">
        <f>IF(ISERROR(VLOOKUP($A323,通讯录!$A:$M,6,FALSE)&amp;""),"",VLOOKUP($A323,通讯录!$A:$M,6,FALSE)&amp;"")</f>
        <v/>
      </c>
      <c r="F323" s="41" t="str">
        <f>IF(ISERROR(VLOOKUP($A323,通讯录!$A:$M,4,FALSE)&amp;""),"",VLOOKUP($A323,通讯录!$A:$M,4,FALSE)&amp;"")</f>
        <v/>
      </c>
      <c r="G323" s="41" t="str">
        <f>IF(ISERROR(VLOOKUP($A323,通讯录!$A:$M,8,FALSE)&amp;""),"",VLOOKUP($A323,通讯录!$A:$M,8,FALSE)&amp;"")</f>
        <v/>
      </c>
      <c r="H323" s="41"/>
      <c r="I323" s="41"/>
      <c r="J323" s="41"/>
      <c r="L323" s="28" t="str">
        <f t="shared" si="4"/>
        <v/>
      </c>
    </row>
    <row r="324" spans="2:12" x14ac:dyDescent="0.15">
      <c r="B324" s="41" t="str">
        <f>IF(ISERROR(VLOOKUP($A324,通讯录!$A:$M,3,FALSE)&amp;""),"",VLOOKUP($A324,通讯录!$A:$M,3,FALSE)&amp;"")</f>
        <v/>
      </c>
      <c r="C324" s="41" t="str">
        <f>IF(ISERROR(VLOOKUP($A324,通讯录!$A:$M,7,FALSE)&amp;""),"",VLOOKUP($A324,通讯录!$A:$M,7,FALSE)&amp;"")</f>
        <v/>
      </c>
      <c r="D324" s="41" t="str">
        <f>IF(ISERROR(VLOOKUP($A324,通讯录!$A:$M,5,FALSE)&amp;""),"",VLOOKUP($A324,通讯录!$A:$M,5,FALSE)&amp;"")</f>
        <v/>
      </c>
      <c r="E324" s="41" t="str">
        <f>IF(ISERROR(VLOOKUP($A324,通讯录!$A:$M,6,FALSE)&amp;""),"",VLOOKUP($A324,通讯录!$A:$M,6,FALSE)&amp;"")</f>
        <v/>
      </c>
      <c r="F324" s="41" t="str">
        <f>IF(ISERROR(VLOOKUP($A324,通讯录!$A:$M,4,FALSE)&amp;""),"",VLOOKUP($A324,通讯录!$A:$M,4,FALSE)&amp;"")</f>
        <v/>
      </c>
      <c r="G324" s="41" t="str">
        <f>IF(ISERROR(VLOOKUP($A324,通讯录!$A:$M,8,FALSE)&amp;""),"",VLOOKUP($A324,通讯录!$A:$M,8,FALSE)&amp;"")</f>
        <v/>
      </c>
      <c r="H324" s="41"/>
      <c r="I324" s="41"/>
      <c r="J324" s="41"/>
      <c r="L324" s="28" t="str">
        <f t="shared" si="4"/>
        <v/>
      </c>
    </row>
    <row r="325" spans="2:12" x14ac:dyDescent="0.15">
      <c r="B325" s="41" t="str">
        <f>IF(ISERROR(VLOOKUP($A325,通讯录!$A:$M,3,FALSE)&amp;""),"",VLOOKUP($A325,通讯录!$A:$M,3,FALSE)&amp;"")</f>
        <v/>
      </c>
      <c r="C325" s="41" t="str">
        <f>IF(ISERROR(VLOOKUP($A325,通讯录!$A:$M,7,FALSE)&amp;""),"",VLOOKUP($A325,通讯录!$A:$M,7,FALSE)&amp;"")</f>
        <v/>
      </c>
      <c r="D325" s="41" t="str">
        <f>IF(ISERROR(VLOOKUP($A325,通讯录!$A:$M,5,FALSE)&amp;""),"",VLOOKUP($A325,通讯录!$A:$M,5,FALSE)&amp;"")</f>
        <v/>
      </c>
      <c r="E325" s="41" t="str">
        <f>IF(ISERROR(VLOOKUP($A325,通讯录!$A:$M,6,FALSE)&amp;""),"",VLOOKUP($A325,通讯录!$A:$M,6,FALSE)&amp;"")</f>
        <v/>
      </c>
      <c r="F325" s="41" t="str">
        <f>IF(ISERROR(VLOOKUP($A325,通讯录!$A:$M,4,FALSE)&amp;""),"",VLOOKUP($A325,通讯录!$A:$M,4,FALSE)&amp;"")</f>
        <v/>
      </c>
      <c r="G325" s="41" t="str">
        <f>IF(ISERROR(VLOOKUP($A325,通讯录!$A:$M,8,FALSE)&amp;""),"",VLOOKUP($A325,通讯录!$A:$M,8,FALSE)&amp;"")</f>
        <v/>
      </c>
      <c r="H325" s="41"/>
      <c r="I325" s="41"/>
      <c r="J325" s="41"/>
      <c r="L325" s="28" t="str">
        <f t="shared" si="4"/>
        <v/>
      </c>
    </row>
    <row r="326" spans="2:12" x14ac:dyDescent="0.15">
      <c r="B326" s="41" t="str">
        <f>IF(ISERROR(VLOOKUP($A326,通讯录!$A:$M,3,FALSE)&amp;""),"",VLOOKUP($A326,通讯录!$A:$M,3,FALSE)&amp;"")</f>
        <v/>
      </c>
      <c r="C326" s="41" t="str">
        <f>IF(ISERROR(VLOOKUP($A326,通讯录!$A:$M,7,FALSE)&amp;""),"",VLOOKUP($A326,通讯录!$A:$M,7,FALSE)&amp;"")</f>
        <v/>
      </c>
      <c r="D326" s="41" t="str">
        <f>IF(ISERROR(VLOOKUP($A326,通讯录!$A:$M,5,FALSE)&amp;""),"",VLOOKUP($A326,通讯录!$A:$M,5,FALSE)&amp;"")</f>
        <v/>
      </c>
      <c r="E326" s="41" t="str">
        <f>IF(ISERROR(VLOOKUP($A326,通讯录!$A:$M,6,FALSE)&amp;""),"",VLOOKUP($A326,通讯录!$A:$M,6,FALSE)&amp;"")</f>
        <v/>
      </c>
      <c r="F326" s="41" t="str">
        <f>IF(ISERROR(VLOOKUP($A326,通讯录!$A:$M,4,FALSE)&amp;""),"",VLOOKUP($A326,通讯录!$A:$M,4,FALSE)&amp;"")</f>
        <v/>
      </c>
      <c r="G326" s="41" t="str">
        <f>IF(ISERROR(VLOOKUP($A326,通讯录!$A:$M,8,FALSE)&amp;""),"",VLOOKUP($A326,通讯录!$A:$M,8,FALSE)&amp;"")</f>
        <v/>
      </c>
      <c r="H326" s="41"/>
      <c r="I326" s="41"/>
      <c r="J326" s="41"/>
      <c r="L326" s="28" t="str">
        <f t="shared" si="4"/>
        <v/>
      </c>
    </row>
    <row r="327" spans="2:12" x14ac:dyDescent="0.15">
      <c r="B327" s="41" t="str">
        <f>IF(ISERROR(VLOOKUP($A327,通讯录!$A:$M,3,FALSE)&amp;""),"",VLOOKUP($A327,通讯录!$A:$M,3,FALSE)&amp;"")</f>
        <v/>
      </c>
      <c r="C327" s="41" t="str">
        <f>IF(ISERROR(VLOOKUP($A327,通讯录!$A:$M,7,FALSE)&amp;""),"",VLOOKUP($A327,通讯录!$A:$M,7,FALSE)&amp;"")</f>
        <v/>
      </c>
      <c r="D327" s="41" t="str">
        <f>IF(ISERROR(VLOOKUP($A327,通讯录!$A:$M,5,FALSE)&amp;""),"",VLOOKUP($A327,通讯录!$A:$M,5,FALSE)&amp;"")</f>
        <v/>
      </c>
      <c r="E327" s="41" t="str">
        <f>IF(ISERROR(VLOOKUP($A327,通讯录!$A:$M,6,FALSE)&amp;""),"",VLOOKUP($A327,通讯录!$A:$M,6,FALSE)&amp;"")</f>
        <v/>
      </c>
      <c r="F327" s="41" t="str">
        <f>IF(ISERROR(VLOOKUP($A327,通讯录!$A:$M,4,FALSE)&amp;""),"",VLOOKUP($A327,通讯录!$A:$M,4,FALSE)&amp;"")</f>
        <v/>
      </c>
      <c r="G327" s="41" t="str">
        <f>IF(ISERROR(VLOOKUP($A327,通讯录!$A:$M,8,FALSE)&amp;""),"",VLOOKUP($A327,通讯录!$A:$M,8,FALSE)&amp;"")</f>
        <v/>
      </c>
      <c r="H327" s="41"/>
      <c r="I327" s="41"/>
      <c r="J327" s="41"/>
      <c r="L327" s="28" t="str">
        <f t="shared" si="4"/>
        <v/>
      </c>
    </row>
    <row r="328" spans="2:12" x14ac:dyDescent="0.15">
      <c r="B328" s="41" t="str">
        <f>IF(ISERROR(VLOOKUP($A328,通讯录!$A:$M,3,FALSE)&amp;""),"",VLOOKUP($A328,通讯录!$A:$M,3,FALSE)&amp;"")</f>
        <v/>
      </c>
      <c r="C328" s="41" t="str">
        <f>IF(ISERROR(VLOOKUP($A328,通讯录!$A:$M,7,FALSE)&amp;""),"",VLOOKUP($A328,通讯录!$A:$M,7,FALSE)&amp;"")</f>
        <v/>
      </c>
      <c r="D328" s="41" t="str">
        <f>IF(ISERROR(VLOOKUP($A328,通讯录!$A:$M,5,FALSE)&amp;""),"",VLOOKUP($A328,通讯录!$A:$M,5,FALSE)&amp;"")</f>
        <v/>
      </c>
      <c r="E328" s="41" t="str">
        <f>IF(ISERROR(VLOOKUP($A328,通讯录!$A:$M,6,FALSE)&amp;""),"",VLOOKUP($A328,通讯录!$A:$M,6,FALSE)&amp;"")</f>
        <v/>
      </c>
      <c r="F328" s="41" t="str">
        <f>IF(ISERROR(VLOOKUP($A328,通讯录!$A:$M,4,FALSE)&amp;""),"",VLOOKUP($A328,通讯录!$A:$M,4,FALSE)&amp;"")</f>
        <v/>
      </c>
      <c r="G328" s="41" t="str">
        <f>IF(ISERROR(VLOOKUP($A328,通讯录!$A:$M,8,FALSE)&amp;""),"",VLOOKUP($A328,通讯录!$A:$M,8,FALSE)&amp;"")</f>
        <v/>
      </c>
      <c r="H328" s="41"/>
      <c r="I328" s="41"/>
      <c r="J328" s="41"/>
      <c r="L328" s="28" t="str">
        <f t="shared" si="4"/>
        <v/>
      </c>
    </row>
    <row r="329" spans="2:12" x14ac:dyDescent="0.15">
      <c r="B329" s="41" t="str">
        <f>IF(ISERROR(VLOOKUP($A329,通讯录!$A:$M,3,FALSE)&amp;""),"",VLOOKUP($A329,通讯录!$A:$M,3,FALSE)&amp;"")</f>
        <v/>
      </c>
      <c r="C329" s="41" t="str">
        <f>IF(ISERROR(VLOOKUP($A329,通讯录!$A:$M,7,FALSE)&amp;""),"",VLOOKUP($A329,通讯录!$A:$M,7,FALSE)&amp;"")</f>
        <v/>
      </c>
      <c r="D329" s="41" t="str">
        <f>IF(ISERROR(VLOOKUP($A329,通讯录!$A:$M,5,FALSE)&amp;""),"",VLOOKUP($A329,通讯录!$A:$M,5,FALSE)&amp;"")</f>
        <v/>
      </c>
      <c r="E329" s="41" t="str">
        <f>IF(ISERROR(VLOOKUP($A329,通讯录!$A:$M,6,FALSE)&amp;""),"",VLOOKUP($A329,通讯录!$A:$M,6,FALSE)&amp;"")</f>
        <v/>
      </c>
      <c r="F329" s="41" t="str">
        <f>IF(ISERROR(VLOOKUP($A329,通讯录!$A:$M,4,FALSE)&amp;""),"",VLOOKUP($A329,通讯录!$A:$M,4,FALSE)&amp;"")</f>
        <v/>
      </c>
      <c r="G329" s="41" t="str">
        <f>IF(ISERROR(VLOOKUP($A329,通讯录!$A:$M,8,FALSE)&amp;""),"",VLOOKUP($A329,通讯录!$A:$M,8,FALSE)&amp;"")</f>
        <v/>
      </c>
      <c r="H329" s="41"/>
      <c r="I329" s="41"/>
      <c r="J329" s="41"/>
      <c r="L329" s="28" t="str">
        <f t="shared" si="4"/>
        <v/>
      </c>
    </row>
    <row r="330" spans="2:12" x14ac:dyDescent="0.15">
      <c r="B330" s="41" t="str">
        <f>IF(ISERROR(VLOOKUP($A330,通讯录!$A:$M,3,FALSE)&amp;""),"",VLOOKUP($A330,通讯录!$A:$M,3,FALSE)&amp;"")</f>
        <v/>
      </c>
      <c r="C330" s="41" t="str">
        <f>IF(ISERROR(VLOOKUP($A330,通讯录!$A:$M,7,FALSE)&amp;""),"",VLOOKUP($A330,通讯录!$A:$M,7,FALSE)&amp;"")</f>
        <v/>
      </c>
      <c r="D330" s="41" t="str">
        <f>IF(ISERROR(VLOOKUP($A330,通讯录!$A:$M,5,FALSE)&amp;""),"",VLOOKUP($A330,通讯录!$A:$M,5,FALSE)&amp;"")</f>
        <v/>
      </c>
      <c r="E330" s="41" t="str">
        <f>IF(ISERROR(VLOOKUP($A330,通讯录!$A:$M,6,FALSE)&amp;""),"",VLOOKUP($A330,通讯录!$A:$M,6,FALSE)&amp;"")</f>
        <v/>
      </c>
      <c r="F330" s="41" t="str">
        <f>IF(ISERROR(VLOOKUP($A330,通讯录!$A:$M,4,FALSE)&amp;""),"",VLOOKUP($A330,通讯录!$A:$M,4,FALSE)&amp;"")</f>
        <v/>
      </c>
      <c r="G330" s="41" t="str">
        <f>IF(ISERROR(VLOOKUP($A330,通讯录!$A:$M,8,FALSE)&amp;""),"",VLOOKUP($A330,通讯录!$A:$M,8,FALSE)&amp;"")</f>
        <v/>
      </c>
      <c r="H330" s="41"/>
      <c r="I330" s="41"/>
      <c r="J330" s="41"/>
      <c r="L330" s="28" t="str">
        <f t="shared" si="4"/>
        <v/>
      </c>
    </row>
    <row r="331" spans="2:12" x14ac:dyDescent="0.15">
      <c r="B331" s="41" t="str">
        <f>IF(ISERROR(VLOOKUP($A331,通讯录!$A:$M,3,FALSE)&amp;""),"",VLOOKUP($A331,通讯录!$A:$M,3,FALSE)&amp;"")</f>
        <v/>
      </c>
      <c r="C331" s="41" t="str">
        <f>IF(ISERROR(VLOOKUP($A331,通讯录!$A:$M,7,FALSE)&amp;""),"",VLOOKUP($A331,通讯录!$A:$M,7,FALSE)&amp;"")</f>
        <v/>
      </c>
      <c r="D331" s="41" t="str">
        <f>IF(ISERROR(VLOOKUP($A331,通讯录!$A:$M,5,FALSE)&amp;""),"",VLOOKUP($A331,通讯录!$A:$M,5,FALSE)&amp;"")</f>
        <v/>
      </c>
      <c r="E331" s="41" t="str">
        <f>IF(ISERROR(VLOOKUP($A331,通讯录!$A:$M,6,FALSE)&amp;""),"",VLOOKUP($A331,通讯录!$A:$M,6,FALSE)&amp;"")</f>
        <v/>
      </c>
      <c r="F331" s="41" t="str">
        <f>IF(ISERROR(VLOOKUP($A331,通讯录!$A:$M,4,FALSE)&amp;""),"",VLOOKUP($A331,通讯录!$A:$M,4,FALSE)&amp;"")</f>
        <v/>
      </c>
      <c r="G331" s="41" t="str">
        <f>IF(ISERROR(VLOOKUP($A331,通讯录!$A:$M,8,FALSE)&amp;""),"",VLOOKUP($A331,通讯录!$A:$M,8,FALSE)&amp;"")</f>
        <v/>
      </c>
      <c r="H331" s="41"/>
      <c r="I331" s="41"/>
      <c r="J331" s="41"/>
      <c r="L331" s="28" t="str">
        <f t="shared" si="4"/>
        <v/>
      </c>
    </row>
    <row r="332" spans="2:12" x14ac:dyDescent="0.15">
      <c r="B332" s="41" t="str">
        <f>IF(ISERROR(VLOOKUP($A332,通讯录!$A:$M,3,FALSE)&amp;""),"",VLOOKUP($A332,通讯录!$A:$M,3,FALSE)&amp;"")</f>
        <v/>
      </c>
      <c r="C332" s="41" t="str">
        <f>IF(ISERROR(VLOOKUP($A332,通讯录!$A:$M,7,FALSE)&amp;""),"",VLOOKUP($A332,通讯录!$A:$M,7,FALSE)&amp;"")</f>
        <v/>
      </c>
      <c r="D332" s="41" t="str">
        <f>IF(ISERROR(VLOOKUP($A332,通讯录!$A:$M,5,FALSE)&amp;""),"",VLOOKUP($A332,通讯录!$A:$M,5,FALSE)&amp;"")</f>
        <v/>
      </c>
      <c r="E332" s="41" t="str">
        <f>IF(ISERROR(VLOOKUP($A332,通讯录!$A:$M,6,FALSE)&amp;""),"",VLOOKUP($A332,通讯录!$A:$M,6,FALSE)&amp;"")</f>
        <v/>
      </c>
      <c r="F332" s="41" t="str">
        <f>IF(ISERROR(VLOOKUP($A332,通讯录!$A:$M,4,FALSE)&amp;""),"",VLOOKUP($A332,通讯录!$A:$M,4,FALSE)&amp;"")</f>
        <v/>
      </c>
      <c r="G332" s="41" t="str">
        <f>IF(ISERROR(VLOOKUP($A332,通讯录!$A:$M,8,FALSE)&amp;""),"",VLOOKUP($A332,通讯录!$A:$M,8,FALSE)&amp;"")</f>
        <v/>
      </c>
      <c r="H332" s="41"/>
      <c r="I332" s="41"/>
      <c r="J332" s="41"/>
      <c r="L332" s="28" t="str">
        <f t="shared" si="4"/>
        <v/>
      </c>
    </row>
    <row r="333" spans="2:12" x14ac:dyDescent="0.15">
      <c r="B333" s="41" t="str">
        <f>IF(ISERROR(VLOOKUP($A333,通讯录!$A:$M,3,FALSE)&amp;""),"",VLOOKUP($A333,通讯录!$A:$M,3,FALSE)&amp;"")</f>
        <v/>
      </c>
      <c r="C333" s="41" t="str">
        <f>IF(ISERROR(VLOOKUP($A333,通讯录!$A:$M,7,FALSE)&amp;""),"",VLOOKUP($A333,通讯录!$A:$M,7,FALSE)&amp;"")</f>
        <v/>
      </c>
      <c r="D333" s="41" t="str">
        <f>IF(ISERROR(VLOOKUP($A333,通讯录!$A:$M,5,FALSE)&amp;""),"",VLOOKUP($A333,通讯录!$A:$M,5,FALSE)&amp;"")</f>
        <v/>
      </c>
      <c r="E333" s="41" t="str">
        <f>IF(ISERROR(VLOOKUP($A333,通讯录!$A:$M,6,FALSE)&amp;""),"",VLOOKUP($A333,通讯录!$A:$M,6,FALSE)&amp;"")</f>
        <v/>
      </c>
      <c r="F333" s="41" t="str">
        <f>IF(ISERROR(VLOOKUP($A333,通讯录!$A:$M,4,FALSE)&amp;""),"",VLOOKUP($A333,通讯录!$A:$M,4,FALSE)&amp;"")</f>
        <v/>
      </c>
      <c r="G333" s="41" t="str">
        <f>IF(ISERROR(VLOOKUP($A333,通讯录!$A:$M,8,FALSE)&amp;""),"",VLOOKUP($A333,通讯录!$A:$M,8,FALSE)&amp;"")</f>
        <v/>
      </c>
      <c r="H333" s="41"/>
      <c r="I333" s="41"/>
      <c r="J333" s="41"/>
      <c r="L333" s="28" t="str">
        <f t="shared" si="4"/>
        <v/>
      </c>
    </row>
    <row r="334" spans="2:12" x14ac:dyDescent="0.15">
      <c r="B334" s="41" t="str">
        <f>IF(ISERROR(VLOOKUP($A334,通讯录!$A:$M,3,FALSE)&amp;""),"",VLOOKUP($A334,通讯录!$A:$M,3,FALSE)&amp;"")</f>
        <v/>
      </c>
      <c r="C334" s="41" t="str">
        <f>IF(ISERROR(VLOOKUP($A334,通讯录!$A:$M,7,FALSE)&amp;""),"",VLOOKUP($A334,通讯录!$A:$M,7,FALSE)&amp;"")</f>
        <v/>
      </c>
      <c r="D334" s="41" t="str">
        <f>IF(ISERROR(VLOOKUP($A334,通讯录!$A:$M,5,FALSE)&amp;""),"",VLOOKUP($A334,通讯录!$A:$M,5,FALSE)&amp;"")</f>
        <v/>
      </c>
      <c r="E334" s="41" t="str">
        <f>IF(ISERROR(VLOOKUP($A334,通讯录!$A:$M,6,FALSE)&amp;""),"",VLOOKUP($A334,通讯录!$A:$M,6,FALSE)&amp;"")</f>
        <v/>
      </c>
      <c r="F334" s="41" t="str">
        <f>IF(ISERROR(VLOOKUP($A334,通讯录!$A:$M,4,FALSE)&amp;""),"",VLOOKUP($A334,通讯录!$A:$M,4,FALSE)&amp;"")</f>
        <v/>
      </c>
      <c r="G334" s="41" t="str">
        <f>IF(ISERROR(VLOOKUP($A334,通讯录!$A:$M,8,FALSE)&amp;""),"",VLOOKUP($A334,通讯录!$A:$M,8,FALSE)&amp;"")</f>
        <v/>
      </c>
      <c r="H334" s="41"/>
      <c r="I334" s="41"/>
      <c r="J334" s="41"/>
      <c r="L334" s="28" t="str">
        <f t="shared" si="4"/>
        <v/>
      </c>
    </row>
    <row r="335" spans="2:12" x14ac:dyDescent="0.15">
      <c r="C335" s="71"/>
      <c r="D335" s="66"/>
      <c r="L335" s="28" t="str">
        <f t="shared" si="4"/>
        <v/>
      </c>
    </row>
    <row r="336" spans="2:12" x14ac:dyDescent="0.15">
      <c r="C336" s="71"/>
      <c r="D336" s="66"/>
      <c r="L336" s="28" t="str">
        <f t="shared" si="4"/>
        <v/>
      </c>
    </row>
    <row r="337" spans="3:12" x14ac:dyDescent="0.15">
      <c r="C337" s="71"/>
      <c r="D337" s="66"/>
      <c r="L337" s="28" t="str">
        <f t="shared" si="4"/>
        <v/>
      </c>
    </row>
    <row r="338" spans="3:12" x14ac:dyDescent="0.15">
      <c r="C338" s="71"/>
      <c r="D338" s="66"/>
      <c r="L338" s="28" t="str">
        <f t="shared" si="4"/>
        <v/>
      </c>
    </row>
    <row r="339" spans="3:12" x14ac:dyDescent="0.15">
      <c r="C339" s="71"/>
      <c r="D339" s="66"/>
      <c r="L339" s="28" t="str">
        <f t="shared" si="4"/>
        <v/>
      </c>
    </row>
    <row r="340" spans="3:12" x14ac:dyDescent="0.15">
      <c r="C340" s="71"/>
      <c r="D340" s="66"/>
      <c r="L340" s="28" t="str">
        <f t="shared" si="4"/>
        <v/>
      </c>
    </row>
    <row r="341" spans="3:12" x14ac:dyDescent="0.15">
      <c r="C341" s="71"/>
      <c r="D341" s="66"/>
      <c r="L341" s="28" t="str">
        <f t="shared" si="4"/>
        <v/>
      </c>
    </row>
    <row r="342" spans="3:12" x14ac:dyDescent="0.15">
      <c r="C342" s="71"/>
      <c r="D342" s="66"/>
      <c r="L342" s="28" t="str">
        <f t="shared" si="4"/>
        <v/>
      </c>
    </row>
    <row r="343" spans="3:12" x14ac:dyDescent="0.15">
      <c r="C343" s="71"/>
      <c r="D343" s="66"/>
      <c r="L343" s="28" t="str">
        <f t="shared" si="4"/>
        <v/>
      </c>
    </row>
    <row r="344" spans="3:12" x14ac:dyDescent="0.15">
      <c r="C344" s="71"/>
      <c r="D344" s="66"/>
      <c r="L344" s="28" t="str">
        <f t="shared" si="4"/>
        <v/>
      </c>
    </row>
    <row r="345" spans="3:12" x14ac:dyDescent="0.15">
      <c r="C345" s="71"/>
      <c r="D345" s="66"/>
      <c r="L345" s="28" t="str">
        <f t="shared" si="4"/>
        <v/>
      </c>
    </row>
    <row r="346" spans="3:12" x14ac:dyDescent="0.15">
      <c r="C346" s="71"/>
      <c r="D346" s="66"/>
      <c r="L346" s="28" t="str">
        <f t="shared" si="4"/>
        <v/>
      </c>
    </row>
    <row r="347" spans="3:12" x14ac:dyDescent="0.15">
      <c r="C347" s="71"/>
      <c r="D347" s="66"/>
      <c r="L347" s="28" t="str">
        <f t="shared" si="4"/>
        <v/>
      </c>
    </row>
    <row r="348" spans="3:12" x14ac:dyDescent="0.15">
      <c r="C348" s="71"/>
      <c r="D348" s="66"/>
      <c r="L348" s="28" t="str">
        <f t="shared" si="4"/>
        <v/>
      </c>
    </row>
    <row r="349" spans="3:12" x14ac:dyDescent="0.15">
      <c r="C349" s="71"/>
      <c r="D349" s="66"/>
      <c r="L349" s="28" t="str">
        <f t="shared" si="4"/>
        <v/>
      </c>
    </row>
    <row r="350" spans="3:12" x14ac:dyDescent="0.15">
      <c r="C350" s="71"/>
      <c r="D350" s="66"/>
      <c r="L350" s="28" t="str">
        <f t="shared" si="4"/>
        <v/>
      </c>
    </row>
    <row r="351" spans="3:12" x14ac:dyDescent="0.15">
      <c r="C351" s="71"/>
      <c r="D351" s="66"/>
      <c r="L351" s="28" t="str">
        <f t="shared" si="4"/>
        <v/>
      </c>
    </row>
    <row r="352" spans="3:12" x14ac:dyDescent="0.15">
      <c r="L352" s="28" t="str">
        <f t="shared" si="4"/>
        <v/>
      </c>
    </row>
    <row r="353" spans="12:12" x14ac:dyDescent="0.15">
      <c r="L353" s="28" t="str">
        <f t="shared" si="4"/>
        <v/>
      </c>
    </row>
  </sheetData>
  <mergeCells count="1">
    <mergeCell ref="A2:J2"/>
  </mergeCells>
  <phoneticPr fontId="16" type="noConversion"/>
  <dataValidations count="1">
    <dataValidation type="list" allowBlank="1" showInputMessage="1" showErrorMessage="1" sqref="J18">
      <formula1>"QQ粘贴并回车.vbs,发QQ消息可用.vbs"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Pict="0" macro="[0]!单脚本_生成所在行并执行">
                <anchor>
                  <from>
                    <xdr:col>5</xdr:col>
                    <xdr:colOff>190500</xdr:colOff>
                    <xdr:row>0</xdr:row>
                    <xdr:rowOff>9525</xdr:rowOff>
                  </from>
                  <to>
                    <xdr:col>7</xdr:col>
                    <xdr:colOff>38100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Pict="0" macro="[0]!单脚本_批量替换并执行文件">
                <anchor>
                  <from>
                    <xdr:col>10</xdr:col>
                    <xdr:colOff>352425</xdr:colOff>
                    <xdr:row>0</xdr:row>
                    <xdr:rowOff>0</xdr:rowOff>
                  </from>
                  <to>
                    <xdr:col>10</xdr:col>
                    <xdr:colOff>1543050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6" name="Button 6">
              <controlPr defaultSize="0" print="0" autoPict="0" macro="[0]!结束脚本">
                <anchor moveWithCells="1" sizeWithCells="1">
                  <from>
                    <xdr:col>11</xdr:col>
                    <xdr:colOff>152400</xdr:colOff>
                    <xdr:row>0</xdr:row>
                    <xdr:rowOff>0</xdr:rowOff>
                  </from>
                  <to>
                    <xdr:col>12</xdr:col>
                    <xdr:colOff>733425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7" name="Button 7">
              <controlPr defaultSize="0" print="0" autoPict="0" macro="[0]!单脚本_生成所在行并打开">
                <anchor>
                  <from>
                    <xdr:col>3</xdr:col>
                    <xdr:colOff>342900</xdr:colOff>
                    <xdr:row>0</xdr:row>
                    <xdr:rowOff>0</xdr:rowOff>
                  </from>
                  <to>
                    <xdr:col>5</xdr:col>
                    <xdr:colOff>161925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8" name="Button 8">
              <controlPr defaultSize="0" print="0" autoPict="0" macro="[0]!单脚本_批量替换并打开文件">
                <anchor>
                  <from>
                    <xdr:col>7</xdr:col>
                    <xdr:colOff>142875</xdr:colOff>
                    <xdr:row>0</xdr:row>
                    <xdr:rowOff>0</xdr:rowOff>
                  </from>
                  <to>
                    <xdr:col>10</xdr:col>
                    <xdr:colOff>219075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常用代码!$C:$C</xm:f>
          </x14:formula1>
          <xm:sqref>A1 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3"/>
  <sheetViews>
    <sheetView tabSelected="1" topLeftCell="A19" workbookViewId="0">
      <selection activeCell="G26" sqref="G26"/>
    </sheetView>
  </sheetViews>
  <sheetFormatPr defaultColWidth="9" defaultRowHeight="13.5" x14ac:dyDescent="0.15"/>
  <cols>
    <col min="1" max="1" width="15" style="32" customWidth="1"/>
    <col min="2" max="2" width="21" style="28" customWidth="1"/>
    <col min="3" max="3" width="3.5" style="32" customWidth="1"/>
    <col min="4" max="7" width="8.75" style="32" customWidth="1"/>
    <col min="8" max="8" width="8.75" style="28" customWidth="1"/>
    <col min="9" max="9" width="8.75" style="33" customWidth="1"/>
    <col min="10" max="10" width="10.75" style="28" customWidth="1"/>
    <col min="11" max="11" width="12.625" style="28" customWidth="1"/>
    <col min="12" max="12" width="25.375" style="28" customWidth="1"/>
    <col min="13" max="13" width="13" style="28" customWidth="1"/>
    <col min="14" max="14" width="10.75" style="28" customWidth="1"/>
    <col min="15" max="15" width="11.125" style="28" customWidth="1"/>
    <col min="16" max="16" width="8.625" style="28" customWidth="1"/>
    <col min="17" max="17" width="17.25" style="28" customWidth="1"/>
    <col min="18" max="18" width="14.75" style="28" customWidth="1"/>
    <col min="19" max="19" width="14.75" style="32" customWidth="1"/>
    <col min="20" max="16384" width="9" style="32"/>
  </cols>
  <sheetData>
    <row r="1" spans="1:19" s="28" customFormat="1" ht="37.5" hidden="1" customHeight="1" x14ac:dyDescent="0.15">
      <c r="A1" s="34" t="s">
        <v>28</v>
      </c>
      <c r="B1" s="35" t="str">
        <f>"脚本"&amp;"."&amp;INDEX(常用代码!B:B,MATCH(A3,常用代码!C:C,0))</f>
        <v>脚本.ahk</v>
      </c>
      <c r="C1" s="36"/>
      <c r="D1" s="36"/>
      <c r="E1" s="36"/>
      <c r="F1" s="36"/>
      <c r="G1" s="36"/>
      <c r="H1" s="36"/>
      <c r="I1" s="48"/>
      <c r="J1" s="36"/>
      <c r="N1" s="28" t="s">
        <v>29</v>
      </c>
      <c r="S1" s="32"/>
    </row>
    <row r="2" spans="1:19" s="29" customFormat="1" ht="30" hidden="1" customHeight="1" x14ac:dyDescent="0.15">
      <c r="A2" s="37" t="str">
        <f>IF(ISERROR(VLOOKUP(A3,常用代码!C:H,4,FALSE)&amp;""),"",VLOOKUP(A3,常用代码!C:H,4,FALSE)&amp;"")</f>
        <v>参数04：姓名;参数12：文件路径</v>
      </c>
      <c r="B2" s="38"/>
      <c r="I2" s="49"/>
      <c r="L2" s="50"/>
      <c r="M2" s="50"/>
      <c r="N2" s="50"/>
      <c r="O2" s="50"/>
      <c r="P2" s="50"/>
      <c r="Q2" s="50"/>
      <c r="R2" s="50"/>
    </row>
    <row r="3" spans="1:19" ht="54.75" hidden="1" customHeight="1" x14ac:dyDescent="0.15">
      <c r="A3" s="39" t="s">
        <v>215</v>
      </c>
      <c r="B3" s="40" t="str">
        <f>IF(ISERROR(VLOOKUP(A3,常用代码!C:E,2,FALSE)),"",VLOOKUP(A3,常用代码!C:E,2,FALSE))</f>
        <v>FileToClipboard("参数12")
WinShow,微信 ahk_class WeChatMainWndForPC
WinActivate,微信 ahk_class WeChatMainWndForPC
Sleep,1000
Send ^f
Sleep,1000
Send {text} 参数04
Sleep,1500
OutputDebug, "找到"
Send {Enter}
OutputDebug, "进入"
Sleep 1000
OutputDebug,  "粘贴"
Send ^v
Sleep 1000
Send {Enter}
Sleep 2000
SendInput % "{TEXT}" . "参数11"
Sleep % 500
SendInput % "{TEXT}" . ""
Sleep % 100
Send {Enter}</v>
      </c>
      <c r="C3" s="41"/>
      <c r="D3" s="41"/>
      <c r="E3" s="41"/>
      <c r="F3" s="41"/>
      <c r="G3" s="41"/>
      <c r="H3" s="41"/>
      <c r="I3" s="51"/>
      <c r="J3" s="41"/>
    </row>
    <row r="4" spans="1:19" hidden="1" x14ac:dyDescent="0.15"/>
    <row r="5" spans="1:19" hidden="1" x14ac:dyDescent="0.15"/>
    <row r="6" spans="1:19" hidden="1" x14ac:dyDescent="0.15"/>
    <row r="7" spans="1:19" hidden="1" x14ac:dyDescent="0.15"/>
    <row r="8" spans="1:19" hidden="1" x14ac:dyDescent="0.15"/>
    <row r="9" spans="1:19" hidden="1" x14ac:dyDescent="0.15"/>
    <row r="10" spans="1:19" hidden="1" x14ac:dyDescent="0.15"/>
    <row r="11" spans="1:19" hidden="1" x14ac:dyDescent="0.15"/>
    <row r="12" spans="1:19" hidden="1" x14ac:dyDescent="0.15"/>
    <row r="13" spans="1:19" hidden="1" x14ac:dyDescent="0.15"/>
    <row r="14" spans="1:19" hidden="1" x14ac:dyDescent="0.15"/>
    <row r="15" spans="1:19" hidden="1" x14ac:dyDescent="0.15"/>
    <row r="16" spans="1:19" hidden="1" x14ac:dyDescent="0.15"/>
    <row r="17" spans="1:25" hidden="1" x14ac:dyDescent="0.15"/>
    <row r="18" spans="1:25" ht="38.450000000000003" hidden="1" customHeight="1" x14ac:dyDescent="0.15">
      <c r="H18" s="32"/>
      <c r="I18" s="52"/>
      <c r="J18" s="32"/>
      <c r="K18" s="32"/>
      <c r="L18" s="32"/>
      <c r="M18" s="32"/>
      <c r="N18" s="32"/>
      <c r="O18" s="32"/>
      <c r="P18" s="32"/>
      <c r="Q18" s="32"/>
      <c r="R18" s="32"/>
    </row>
    <row r="19" spans="1:25" s="30" customFormat="1" ht="51" customHeight="1" x14ac:dyDescent="0.15">
      <c r="A19" s="42" t="s">
        <v>1</v>
      </c>
      <c r="B19" s="43" t="s">
        <v>2</v>
      </c>
      <c r="C19" s="42" t="s">
        <v>3</v>
      </c>
      <c r="D19" s="42" t="s">
        <v>4</v>
      </c>
      <c r="E19" s="42" t="s">
        <v>5</v>
      </c>
      <c r="F19" s="42" t="s">
        <v>6</v>
      </c>
      <c r="G19" s="42" t="s">
        <v>7</v>
      </c>
      <c r="H19" s="43" t="s">
        <v>8</v>
      </c>
      <c r="I19" s="53" t="s">
        <v>9</v>
      </c>
      <c r="J19" s="43" t="s">
        <v>10</v>
      </c>
      <c r="K19" s="43" t="s">
        <v>11</v>
      </c>
      <c r="L19" s="43" t="s">
        <v>12</v>
      </c>
      <c r="M19" s="43" t="s">
        <v>13</v>
      </c>
      <c r="N19" s="43" t="s">
        <v>14</v>
      </c>
      <c r="O19" s="43" t="s">
        <v>15</v>
      </c>
      <c r="P19" s="43" t="s">
        <v>31</v>
      </c>
      <c r="Q19" s="43" t="s">
        <v>32</v>
      </c>
      <c r="R19" s="43" t="s">
        <v>33</v>
      </c>
      <c r="S19" s="43" t="s">
        <v>34</v>
      </c>
      <c r="T19" s="43" t="s">
        <v>35</v>
      </c>
    </row>
    <row r="20" spans="1:25" s="31" customFormat="1" ht="16.899999999999999" customHeight="1" x14ac:dyDescent="0.15">
      <c r="A20" s="31" t="s">
        <v>36</v>
      </c>
      <c r="B20" s="44">
        <v>1</v>
      </c>
      <c r="C20" s="31">
        <v>2</v>
      </c>
      <c r="D20" s="45">
        <v>3</v>
      </c>
      <c r="E20" s="31">
        <v>4</v>
      </c>
      <c r="F20" s="45">
        <v>5</v>
      </c>
      <c r="G20" s="44" t="s">
        <v>37</v>
      </c>
      <c r="H20" s="46" t="s">
        <v>38</v>
      </c>
      <c r="I20" s="54" t="s">
        <v>39</v>
      </c>
      <c r="J20" s="31" t="s">
        <v>40</v>
      </c>
      <c r="K20" s="55" t="s">
        <v>41</v>
      </c>
      <c r="L20" s="55" t="s">
        <v>42</v>
      </c>
      <c r="M20" s="31" t="s">
        <v>43</v>
      </c>
      <c r="N20" s="55" t="s">
        <v>44</v>
      </c>
      <c r="O20" s="44" t="s">
        <v>45</v>
      </c>
      <c r="P20" s="44" t="s">
        <v>46</v>
      </c>
      <c r="Q20" s="44" t="s">
        <v>47</v>
      </c>
      <c r="R20" s="44" t="s">
        <v>48</v>
      </c>
      <c r="S20" s="44" t="s">
        <v>49</v>
      </c>
      <c r="T20" s="44" t="s">
        <v>50</v>
      </c>
      <c r="U20" s="44" t="s">
        <v>51</v>
      </c>
      <c r="V20" s="31" t="s">
        <v>52</v>
      </c>
      <c r="W20" s="31" t="s">
        <v>53</v>
      </c>
      <c r="X20" s="31" t="s">
        <v>54</v>
      </c>
      <c r="Y20" s="31" t="s">
        <v>55</v>
      </c>
    </row>
    <row r="21" spans="1:25" s="28" customFormat="1" x14ac:dyDescent="0.15">
      <c r="A21" s="33" t="s">
        <v>56</v>
      </c>
      <c r="B21" s="28" t="str">
        <f>VLOOKUP(A21,常用代码!C:F,4,FALSE)</f>
        <v>无参数</v>
      </c>
      <c r="C21" s="32"/>
      <c r="D21" s="32"/>
      <c r="E21" s="32"/>
      <c r="F21" s="32"/>
      <c r="H21" s="47"/>
      <c r="I21" s="33"/>
      <c r="K21" s="56"/>
      <c r="O21" s="57"/>
      <c r="P21" s="57"/>
      <c r="S21" s="32"/>
    </row>
    <row r="22" spans="1:25" s="28" customFormat="1" x14ac:dyDescent="0.15">
      <c r="A22" s="33" t="s">
        <v>149</v>
      </c>
      <c r="B22" s="28" t="str">
        <f>VLOOKUP(A22,常用代码!C:F,4,FALSE)</f>
        <v>参数04：姓名;参数12：文件路径</v>
      </c>
      <c r="C22" s="32"/>
      <c r="D22" s="75" t="s">
        <v>213</v>
      </c>
      <c r="E22" s="32"/>
      <c r="F22" s="32"/>
      <c r="H22" s="47"/>
      <c r="I22" s="33"/>
      <c r="K22" s="56" t="s">
        <v>24</v>
      </c>
      <c r="L22" s="28" t="s">
        <v>58</v>
      </c>
      <c r="O22" s="57"/>
      <c r="P22" s="57"/>
      <c r="S22" s="32"/>
    </row>
    <row r="23" spans="1:25" s="28" customFormat="1" x14ac:dyDescent="0.15">
      <c r="A23" s="33" t="s">
        <v>149</v>
      </c>
      <c r="B23" s="28" t="str">
        <f>VLOOKUP(A23,常用代码!C:F,4,FALSE)</f>
        <v>参数04：姓名;参数12：文件路径</v>
      </c>
      <c r="C23" s="32"/>
      <c r="D23" s="75" t="s">
        <v>214</v>
      </c>
      <c r="E23" s="32"/>
      <c r="F23" s="32"/>
      <c r="H23" s="47"/>
      <c r="I23" s="33"/>
      <c r="K23" s="28" t="s">
        <v>26</v>
      </c>
      <c r="L23" s="28" t="s">
        <v>59</v>
      </c>
      <c r="O23" s="57"/>
      <c r="P23" s="57"/>
      <c r="S23" s="32"/>
    </row>
    <row r="24" spans="1:25" s="28" customFormat="1" x14ac:dyDescent="0.15">
      <c r="A24" s="33"/>
      <c r="C24" s="32"/>
      <c r="D24" s="32"/>
      <c r="E24" s="32"/>
      <c r="F24" s="32"/>
      <c r="H24" s="47"/>
      <c r="I24" s="33"/>
      <c r="O24" s="57"/>
      <c r="P24" s="57"/>
      <c r="S24" s="32"/>
    </row>
    <row r="25" spans="1:25" s="28" customFormat="1" x14ac:dyDescent="0.15">
      <c r="A25" s="33"/>
      <c r="C25" s="32"/>
      <c r="D25" s="32"/>
      <c r="E25" s="32"/>
      <c r="F25" s="32"/>
      <c r="H25" s="47"/>
      <c r="I25" s="33"/>
      <c r="O25" s="57"/>
      <c r="P25" s="57"/>
      <c r="S25" s="32"/>
    </row>
    <row r="26" spans="1:25" s="28" customFormat="1" x14ac:dyDescent="0.15">
      <c r="A26" s="33"/>
      <c r="C26" s="32"/>
      <c r="D26" s="32"/>
      <c r="E26" s="32"/>
      <c r="F26" s="32"/>
      <c r="H26" s="47"/>
      <c r="I26" s="33"/>
      <c r="O26" s="57"/>
      <c r="P26" s="57"/>
      <c r="S26" s="32"/>
    </row>
    <row r="27" spans="1:25" s="28" customFormat="1" x14ac:dyDescent="0.15">
      <c r="A27" s="33"/>
      <c r="C27" s="32"/>
      <c r="D27" s="32"/>
      <c r="E27" s="32"/>
      <c r="F27" s="32"/>
      <c r="H27" s="47"/>
      <c r="I27" s="33"/>
      <c r="O27" s="57"/>
      <c r="P27" s="57"/>
      <c r="S27" s="32"/>
    </row>
    <row r="28" spans="1:25" s="28" customFormat="1" x14ac:dyDescent="0.15">
      <c r="A28" s="33"/>
      <c r="C28" s="32"/>
      <c r="D28" s="32"/>
      <c r="E28" s="32"/>
      <c r="F28" s="32"/>
      <c r="H28" s="47"/>
      <c r="I28" s="33"/>
      <c r="O28" s="57"/>
      <c r="P28" s="57"/>
      <c r="S28" s="32"/>
    </row>
    <row r="29" spans="1:25" s="28" customFormat="1" x14ac:dyDescent="0.15">
      <c r="A29" s="33"/>
      <c r="C29" s="32"/>
      <c r="D29" s="32"/>
      <c r="E29" s="32"/>
      <c r="F29" s="32"/>
      <c r="G29" s="32"/>
      <c r="I29" s="33"/>
      <c r="O29" s="57"/>
      <c r="S29" s="32"/>
    </row>
    <row r="30" spans="1:25" s="28" customFormat="1" x14ac:dyDescent="0.15">
      <c r="A30" s="33"/>
      <c r="C30" s="32"/>
      <c r="D30" s="32"/>
      <c r="E30" s="32"/>
      <c r="F30" s="32"/>
      <c r="G30" s="32"/>
      <c r="I30" s="33"/>
      <c r="O30" s="57"/>
      <c r="S30" s="32"/>
    </row>
    <row r="31" spans="1:25" s="28" customFormat="1" x14ac:dyDescent="0.15">
      <c r="A31" s="33"/>
      <c r="C31" s="32"/>
      <c r="D31" s="32"/>
      <c r="E31" s="32"/>
      <c r="F31" s="32"/>
      <c r="G31" s="32"/>
      <c r="I31" s="33"/>
      <c r="O31" s="57"/>
      <c r="S31" s="32"/>
    </row>
    <row r="32" spans="1:25" s="28" customFormat="1" x14ac:dyDescent="0.15">
      <c r="A32" s="33"/>
      <c r="C32" s="32"/>
      <c r="D32" s="32"/>
      <c r="E32" s="32"/>
      <c r="F32" s="32"/>
      <c r="G32" s="32"/>
      <c r="I32" s="33"/>
      <c r="O32" s="57"/>
      <c r="S32" s="32"/>
    </row>
    <row r="33" spans="1:19" s="28" customFormat="1" x14ac:dyDescent="0.15">
      <c r="A33" s="33"/>
      <c r="C33" s="32"/>
      <c r="D33" s="32"/>
      <c r="E33" s="32"/>
      <c r="F33" s="32"/>
      <c r="G33" s="32"/>
      <c r="I33" s="33"/>
      <c r="O33" s="57"/>
      <c r="S33" s="32"/>
    </row>
    <row r="34" spans="1:19" s="28" customFormat="1" x14ac:dyDescent="0.15">
      <c r="A34" s="33"/>
      <c r="C34" s="32"/>
      <c r="D34" s="32"/>
      <c r="E34" s="32"/>
      <c r="F34" s="32"/>
      <c r="G34" s="32"/>
      <c r="I34" s="33"/>
      <c r="O34" s="57"/>
      <c r="S34" s="32"/>
    </row>
    <row r="35" spans="1:19" s="28" customFormat="1" x14ac:dyDescent="0.15">
      <c r="A35" s="33"/>
      <c r="C35" s="32"/>
      <c r="D35" s="32"/>
      <c r="E35" s="32"/>
      <c r="F35" s="32"/>
      <c r="G35" s="32"/>
      <c r="I35" s="33"/>
      <c r="O35" s="57"/>
      <c r="S35" s="32"/>
    </row>
    <row r="36" spans="1:19" s="28" customFormat="1" x14ac:dyDescent="0.15">
      <c r="A36" s="33"/>
      <c r="C36" s="32"/>
      <c r="D36" s="32"/>
      <c r="E36" s="32"/>
      <c r="F36" s="32"/>
      <c r="G36" s="32"/>
      <c r="I36" s="33"/>
      <c r="O36" s="57"/>
      <c r="S36" s="32"/>
    </row>
    <row r="37" spans="1:19" s="28" customFormat="1" x14ac:dyDescent="0.15">
      <c r="A37" s="33"/>
      <c r="C37" s="32"/>
      <c r="D37" s="32"/>
      <c r="E37" s="32"/>
      <c r="F37" s="32"/>
      <c r="G37" s="32"/>
      <c r="I37" s="33"/>
      <c r="O37" s="57"/>
      <c r="S37" s="32"/>
    </row>
    <row r="38" spans="1:19" s="28" customFormat="1" x14ac:dyDescent="0.15">
      <c r="A38" s="33"/>
      <c r="C38" s="32"/>
      <c r="D38" s="32"/>
      <c r="E38" s="32"/>
      <c r="F38" s="32"/>
      <c r="G38" s="32"/>
      <c r="I38" s="33"/>
      <c r="O38" s="57"/>
      <c r="S38" s="32"/>
    </row>
    <row r="39" spans="1:19" s="28" customFormat="1" x14ac:dyDescent="0.15">
      <c r="A39" s="33"/>
      <c r="C39" s="32"/>
      <c r="D39" s="32"/>
      <c r="E39" s="32"/>
      <c r="F39" s="32"/>
      <c r="G39" s="32"/>
      <c r="I39" s="33"/>
      <c r="O39" s="57"/>
      <c r="S39" s="32"/>
    </row>
    <row r="40" spans="1:19" s="28" customFormat="1" x14ac:dyDescent="0.15">
      <c r="A40" s="33"/>
      <c r="C40" s="32"/>
      <c r="D40" s="32"/>
      <c r="E40" s="32"/>
      <c r="F40" s="32"/>
      <c r="G40" s="32"/>
      <c r="I40" s="33"/>
      <c r="O40" s="57"/>
      <c r="S40" s="32"/>
    </row>
    <row r="41" spans="1:19" s="28" customFormat="1" x14ac:dyDescent="0.15">
      <c r="A41" s="33"/>
      <c r="C41" s="32"/>
      <c r="D41" s="32"/>
      <c r="E41" s="32"/>
      <c r="F41" s="32"/>
      <c r="G41" s="32"/>
      <c r="I41" s="33"/>
      <c r="O41" s="57"/>
      <c r="S41" s="32"/>
    </row>
    <row r="42" spans="1:19" s="28" customFormat="1" x14ac:dyDescent="0.15">
      <c r="A42" s="33"/>
      <c r="C42" s="32"/>
      <c r="D42" s="32"/>
      <c r="E42" s="32"/>
      <c r="F42" s="32"/>
      <c r="G42" s="32"/>
      <c r="I42" s="33"/>
      <c r="O42" s="57"/>
      <c r="S42" s="32"/>
    </row>
    <row r="43" spans="1:19" s="28" customFormat="1" x14ac:dyDescent="0.15">
      <c r="A43" s="33"/>
      <c r="C43" s="32"/>
      <c r="D43" s="32"/>
      <c r="E43" s="32"/>
      <c r="F43" s="32"/>
      <c r="G43" s="32"/>
      <c r="I43" s="33"/>
      <c r="O43" s="57"/>
      <c r="S43" s="32"/>
    </row>
    <row r="44" spans="1:19" s="28" customFormat="1" x14ac:dyDescent="0.15">
      <c r="A44" s="33"/>
      <c r="C44" s="32"/>
      <c r="D44" s="32"/>
      <c r="E44" s="32"/>
      <c r="F44" s="32"/>
      <c r="G44" s="32"/>
      <c r="I44" s="33"/>
      <c r="O44" s="57"/>
      <c r="S44" s="32"/>
    </row>
    <row r="45" spans="1:19" s="28" customFormat="1" x14ac:dyDescent="0.15">
      <c r="A45" s="33"/>
      <c r="C45" s="32"/>
      <c r="D45" s="32"/>
      <c r="E45" s="32"/>
      <c r="F45" s="32"/>
      <c r="G45" s="32"/>
      <c r="I45" s="33"/>
      <c r="O45" s="57"/>
      <c r="S45" s="32"/>
    </row>
    <row r="46" spans="1:19" s="28" customFormat="1" x14ac:dyDescent="0.15">
      <c r="A46" s="33"/>
      <c r="C46" s="32"/>
      <c r="D46" s="32"/>
      <c r="E46" s="32"/>
      <c r="F46" s="32"/>
      <c r="G46" s="32"/>
      <c r="I46" s="33"/>
      <c r="O46" s="57"/>
      <c r="S46" s="32"/>
    </row>
    <row r="47" spans="1:19" s="28" customFormat="1" x14ac:dyDescent="0.15">
      <c r="A47" s="33"/>
      <c r="C47" s="32"/>
      <c r="D47" s="32"/>
      <c r="E47" s="32"/>
      <c r="F47" s="32"/>
      <c r="G47" s="32"/>
      <c r="I47" s="33"/>
      <c r="O47" s="57"/>
      <c r="S47" s="32"/>
    </row>
    <row r="48" spans="1:19" s="28" customFormat="1" x14ac:dyDescent="0.15">
      <c r="A48" s="33"/>
      <c r="C48" s="32"/>
      <c r="D48" s="32"/>
      <c r="E48" s="32"/>
      <c r="F48" s="32"/>
      <c r="G48" s="32"/>
      <c r="I48" s="33"/>
      <c r="O48" s="57"/>
      <c r="S48" s="32"/>
    </row>
    <row r="49" spans="1:19" s="28" customFormat="1" x14ac:dyDescent="0.15">
      <c r="A49" s="33"/>
      <c r="C49" s="32"/>
      <c r="D49" s="32"/>
      <c r="E49" s="32"/>
      <c r="F49" s="32"/>
      <c r="G49" s="32"/>
      <c r="I49" s="33"/>
      <c r="O49" s="57"/>
      <c r="S49" s="32"/>
    </row>
    <row r="50" spans="1:19" s="28" customFormat="1" x14ac:dyDescent="0.15">
      <c r="A50" s="33"/>
      <c r="C50" s="32"/>
      <c r="D50" s="32"/>
      <c r="E50" s="32"/>
      <c r="F50" s="32"/>
      <c r="G50" s="32"/>
      <c r="I50" s="33"/>
      <c r="O50" s="57"/>
      <c r="S50" s="32"/>
    </row>
    <row r="51" spans="1:19" s="28" customFormat="1" x14ac:dyDescent="0.15">
      <c r="A51" s="33"/>
      <c r="C51" s="32"/>
      <c r="D51" s="32"/>
      <c r="E51" s="32"/>
      <c r="F51" s="32"/>
      <c r="G51" s="32"/>
      <c r="I51" s="33"/>
      <c r="O51" s="57"/>
      <c r="S51" s="32"/>
    </row>
    <row r="52" spans="1:19" s="28" customFormat="1" x14ac:dyDescent="0.15">
      <c r="A52" s="33"/>
      <c r="C52" s="32"/>
      <c r="D52" s="32"/>
      <c r="E52" s="32"/>
      <c r="F52" s="32"/>
      <c r="G52" s="32"/>
      <c r="I52" s="33"/>
      <c r="O52" s="57"/>
      <c r="S52" s="32"/>
    </row>
    <row r="53" spans="1:19" s="28" customFormat="1" x14ac:dyDescent="0.15">
      <c r="A53" s="33"/>
      <c r="C53" s="32"/>
      <c r="D53" s="32"/>
      <c r="E53" s="32"/>
      <c r="F53" s="32"/>
      <c r="G53" s="32"/>
      <c r="I53" s="33"/>
      <c r="O53" s="57"/>
      <c r="S53" s="32"/>
    </row>
    <row r="54" spans="1:19" s="28" customFormat="1" x14ac:dyDescent="0.15">
      <c r="A54" s="33"/>
      <c r="C54" s="32"/>
      <c r="D54" s="32"/>
      <c r="E54" s="32"/>
      <c r="F54" s="32"/>
      <c r="G54" s="32"/>
      <c r="I54" s="33"/>
      <c r="O54" s="57"/>
      <c r="S54" s="32"/>
    </row>
    <row r="55" spans="1:19" s="28" customFormat="1" x14ac:dyDescent="0.15">
      <c r="A55" s="33"/>
      <c r="C55" s="32"/>
      <c r="D55" s="32"/>
      <c r="E55" s="32"/>
      <c r="F55" s="32"/>
      <c r="G55" s="32"/>
      <c r="I55" s="33"/>
      <c r="O55" s="57"/>
      <c r="S55" s="32"/>
    </row>
    <row r="56" spans="1:19" s="28" customFormat="1" x14ac:dyDescent="0.15">
      <c r="A56" s="33"/>
      <c r="C56" s="32"/>
      <c r="D56" s="32"/>
      <c r="E56" s="32"/>
      <c r="F56" s="32"/>
      <c r="G56" s="32"/>
      <c r="I56" s="33"/>
      <c r="O56" s="57"/>
      <c r="S56" s="32"/>
    </row>
    <row r="57" spans="1:19" s="28" customFormat="1" x14ac:dyDescent="0.15">
      <c r="A57" s="33"/>
      <c r="C57" s="32"/>
      <c r="D57" s="32"/>
      <c r="E57" s="32"/>
      <c r="F57" s="32"/>
      <c r="G57" s="32"/>
      <c r="I57" s="33"/>
      <c r="O57" s="57"/>
      <c r="S57" s="32"/>
    </row>
    <row r="58" spans="1:19" s="28" customFormat="1" x14ac:dyDescent="0.15">
      <c r="A58" s="33"/>
      <c r="C58" s="32"/>
      <c r="D58" s="32"/>
      <c r="E58" s="32"/>
      <c r="F58" s="32"/>
      <c r="G58" s="32"/>
      <c r="I58" s="33"/>
      <c r="O58" s="57"/>
      <c r="S58" s="32"/>
    </row>
    <row r="59" spans="1:19" s="28" customFormat="1" x14ac:dyDescent="0.15">
      <c r="A59" s="33"/>
      <c r="C59" s="32"/>
      <c r="D59" s="32"/>
      <c r="E59" s="32"/>
      <c r="F59" s="32"/>
      <c r="G59" s="32"/>
      <c r="I59" s="33"/>
      <c r="O59" s="57"/>
      <c r="S59" s="32"/>
    </row>
    <row r="60" spans="1:19" s="28" customFormat="1" x14ac:dyDescent="0.15">
      <c r="A60" s="33"/>
      <c r="C60" s="32"/>
      <c r="D60" s="32"/>
      <c r="E60" s="32"/>
      <c r="F60" s="32"/>
      <c r="G60" s="32"/>
      <c r="I60" s="33"/>
      <c r="O60" s="57"/>
      <c r="S60" s="32"/>
    </row>
    <row r="61" spans="1:19" s="28" customFormat="1" x14ac:dyDescent="0.15">
      <c r="A61" s="33"/>
      <c r="C61" s="32"/>
      <c r="D61" s="32"/>
      <c r="E61" s="32"/>
      <c r="F61" s="32"/>
      <c r="G61" s="32"/>
      <c r="I61" s="33"/>
      <c r="O61" s="57"/>
      <c r="S61" s="32"/>
    </row>
    <row r="62" spans="1:19" s="28" customFormat="1" x14ac:dyDescent="0.15">
      <c r="A62" s="33"/>
      <c r="C62" s="32"/>
      <c r="D62" s="32"/>
      <c r="E62" s="32"/>
      <c r="F62" s="32"/>
      <c r="G62" s="32"/>
      <c r="I62" s="33"/>
      <c r="O62" s="57"/>
      <c r="S62" s="32"/>
    </row>
    <row r="63" spans="1:19" s="28" customFormat="1" x14ac:dyDescent="0.15">
      <c r="A63" s="33"/>
      <c r="C63" s="32"/>
      <c r="D63" s="32"/>
      <c r="E63" s="32"/>
      <c r="F63" s="32"/>
      <c r="G63" s="32"/>
      <c r="I63" s="33"/>
      <c r="O63" s="57"/>
      <c r="S63" s="32"/>
    </row>
    <row r="64" spans="1:19" s="28" customFormat="1" x14ac:dyDescent="0.15">
      <c r="A64" s="33"/>
      <c r="C64" s="32"/>
      <c r="D64" s="32"/>
      <c r="E64" s="32"/>
      <c r="F64" s="32"/>
      <c r="G64" s="32"/>
      <c r="I64" s="33"/>
      <c r="O64" s="57"/>
      <c r="S64" s="32"/>
    </row>
    <row r="65" spans="1:19" s="28" customFormat="1" x14ac:dyDescent="0.15">
      <c r="A65" s="33"/>
      <c r="C65" s="32"/>
      <c r="D65" s="32"/>
      <c r="E65" s="32"/>
      <c r="F65" s="32"/>
      <c r="G65" s="32"/>
      <c r="I65" s="33"/>
      <c r="O65" s="57"/>
      <c r="S65" s="32"/>
    </row>
    <row r="66" spans="1:19" s="28" customFormat="1" x14ac:dyDescent="0.15">
      <c r="A66" s="33"/>
      <c r="C66" s="32"/>
      <c r="D66" s="32"/>
      <c r="E66" s="32"/>
      <c r="F66" s="32"/>
      <c r="G66" s="32"/>
      <c r="I66" s="33"/>
      <c r="O66" s="57"/>
      <c r="S66" s="32"/>
    </row>
    <row r="67" spans="1:19" s="28" customFormat="1" x14ac:dyDescent="0.15">
      <c r="A67" s="33"/>
      <c r="C67" s="32"/>
      <c r="D67" s="32"/>
      <c r="E67" s="32"/>
      <c r="F67" s="32"/>
      <c r="G67" s="32"/>
      <c r="I67" s="33"/>
      <c r="O67" s="57"/>
      <c r="S67" s="32"/>
    </row>
    <row r="68" spans="1:19" s="28" customFormat="1" x14ac:dyDescent="0.15">
      <c r="A68" s="33"/>
      <c r="C68" s="32"/>
      <c r="D68" s="32"/>
      <c r="E68" s="32"/>
      <c r="F68" s="32"/>
      <c r="G68" s="32"/>
      <c r="I68" s="33"/>
      <c r="O68" s="57"/>
      <c r="S68" s="32"/>
    </row>
    <row r="69" spans="1:19" s="28" customFormat="1" x14ac:dyDescent="0.15">
      <c r="A69" s="33"/>
      <c r="C69" s="32"/>
      <c r="D69" s="32"/>
      <c r="E69" s="32"/>
      <c r="F69" s="32"/>
      <c r="G69" s="32"/>
      <c r="I69" s="33"/>
      <c r="O69" s="57"/>
      <c r="S69" s="32"/>
    </row>
    <row r="70" spans="1:19" s="28" customFormat="1" x14ac:dyDescent="0.15">
      <c r="A70" s="33"/>
      <c r="C70" s="32"/>
      <c r="D70" s="32"/>
      <c r="E70" s="32"/>
      <c r="F70" s="32"/>
      <c r="G70" s="32"/>
      <c r="I70" s="33"/>
      <c r="O70" s="57"/>
      <c r="S70" s="32"/>
    </row>
    <row r="71" spans="1:19" s="28" customFormat="1" x14ac:dyDescent="0.15">
      <c r="A71" s="33"/>
      <c r="C71" s="32"/>
      <c r="D71" s="32"/>
      <c r="E71" s="32"/>
      <c r="F71" s="32"/>
      <c r="G71" s="32"/>
      <c r="I71" s="33"/>
      <c r="O71" s="57"/>
      <c r="S71" s="32"/>
    </row>
    <row r="72" spans="1:19" s="28" customFormat="1" x14ac:dyDescent="0.15">
      <c r="A72" s="33"/>
      <c r="C72" s="32"/>
      <c r="D72" s="32"/>
      <c r="E72" s="32"/>
      <c r="F72" s="32"/>
      <c r="G72" s="32"/>
      <c r="I72" s="33"/>
      <c r="O72" s="57"/>
      <c r="S72" s="32"/>
    </row>
    <row r="73" spans="1:19" s="28" customFormat="1" x14ac:dyDescent="0.15">
      <c r="A73" s="33"/>
      <c r="C73" s="32"/>
      <c r="D73" s="32"/>
      <c r="E73" s="32"/>
      <c r="F73" s="32"/>
      <c r="G73" s="32"/>
      <c r="I73" s="33"/>
      <c r="O73" s="57"/>
      <c r="S73" s="32"/>
    </row>
    <row r="74" spans="1:19" s="28" customFormat="1" x14ac:dyDescent="0.15">
      <c r="A74" s="33"/>
      <c r="C74" s="32"/>
      <c r="D74" s="32"/>
      <c r="E74" s="32"/>
      <c r="F74" s="32"/>
      <c r="G74" s="32"/>
      <c r="I74" s="33"/>
      <c r="O74" s="57"/>
      <c r="S74" s="32"/>
    </row>
    <row r="75" spans="1:19" s="28" customFormat="1" x14ac:dyDescent="0.15">
      <c r="A75" s="33"/>
      <c r="C75" s="32"/>
      <c r="D75" s="32"/>
      <c r="E75" s="32"/>
      <c r="F75" s="32"/>
      <c r="G75" s="32"/>
      <c r="I75" s="33"/>
      <c r="O75" s="57"/>
      <c r="S75" s="32"/>
    </row>
    <row r="76" spans="1:19" s="28" customFormat="1" x14ac:dyDescent="0.15">
      <c r="A76" s="33"/>
      <c r="C76" s="32"/>
      <c r="D76" s="32"/>
      <c r="E76" s="32"/>
      <c r="F76" s="32"/>
      <c r="G76" s="32"/>
      <c r="I76" s="33"/>
      <c r="O76" s="57"/>
      <c r="S76" s="32"/>
    </row>
    <row r="77" spans="1:19" s="28" customFormat="1" x14ac:dyDescent="0.15">
      <c r="A77" s="33"/>
      <c r="C77" s="32"/>
      <c r="D77" s="32"/>
      <c r="E77" s="32"/>
      <c r="F77" s="32"/>
      <c r="G77" s="32"/>
      <c r="I77" s="33"/>
      <c r="O77" s="57"/>
      <c r="S77" s="32"/>
    </row>
    <row r="78" spans="1:19" s="28" customFormat="1" x14ac:dyDescent="0.15">
      <c r="A78" s="33"/>
      <c r="C78" s="32"/>
      <c r="D78" s="32"/>
      <c r="E78" s="32"/>
      <c r="F78" s="32"/>
      <c r="G78" s="32"/>
      <c r="I78" s="33"/>
      <c r="O78" s="57"/>
      <c r="S78" s="32"/>
    </row>
    <row r="79" spans="1:19" s="28" customFormat="1" x14ac:dyDescent="0.15">
      <c r="A79" s="33"/>
      <c r="C79" s="32"/>
      <c r="D79" s="32"/>
      <c r="E79" s="32"/>
      <c r="F79" s="32"/>
      <c r="G79" s="32"/>
      <c r="I79" s="33"/>
      <c r="O79" s="57"/>
      <c r="S79" s="32"/>
    </row>
    <row r="80" spans="1:19" s="28" customFormat="1" x14ac:dyDescent="0.15">
      <c r="A80" s="33"/>
      <c r="C80" s="32"/>
      <c r="D80" s="32"/>
      <c r="E80" s="32"/>
      <c r="F80" s="32"/>
      <c r="G80" s="32"/>
      <c r="I80" s="33"/>
      <c r="O80" s="57"/>
      <c r="S80" s="32"/>
    </row>
    <row r="81" spans="1:19" s="28" customFormat="1" x14ac:dyDescent="0.15">
      <c r="A81" s="33"/>
      <c r="C81" s="32"/>
      <c r="D81" s="32"/>
      <c r="E81" s="32"/>
      <c r="F81" s="32"/>
      <c r="G81" s="32"/>
      <c r="I81" s="33"/>
      <c r="O81" s="57"/>
      <c r="S81" s="32"/>
    </row>
    <row r="82" spans="1:19" s="28" customFormat="1" x14ac:dyDescent="0.15">
      <c r="A82" s="33"/>
      <c r="C82" s="32"/>
      <c r="D82" s="32"/>
      <c r="E82" s="32"/>
      <c r="F82" s="32"/>
      <c r="G82" s="32"/>
      <c r="I82" s="33"/>
      <c r="O82" s="57"/>
      <c r="S82" s="32"/>
    </row>
    <row r="83" spans="1:19" s="28" customFormat="1" x14ac:dyDescent="0.15">
      <c r="A83" s="33"/>
      <c r="C83" s="32"/>
      <c r="D83" s="32"/>
      <c r="E83" s="32"/>
      <c r="F83" s="32"/>
      <c r="G83" s="32"/>
      <c r="I83" s="33"/>
      <c r="O83" s="57"/>
      <c r="S83" s="32"/>
    </row>
    <row r="84" spans="1:19" s="28" customFormat="1" x14ac:dyDescent="0.15">
      <c r="A84" s="33"/>
      <c r="C84" s="32"/>
      <c r="D84" s="32"/>
      <c r="E84" s="32"/>
      <c r="F84" s="32"/>
      <c r="G84" s="32"/>
      <c r="I84" s="33"/>
      <c r="O84" s="57"/>
      <c r="S84" s="32"/>
    </row>
    <row r="85" spans="1:19" s="28" customFormat="1" x14ac:dyDescent="0.15">
      <c r="A85" s="33"/>
      <c r="C85" s="32"/>
      <c r="D85" s="32"/>
      <c r="E85" s="32"/>
      <c r="F85" s="32"/>
      <c r="G85" s="32"/>
      <c r="I85" s="33"/>
      <c r="O85" s="57"/>
      <c r="S85" s="32"/>
    </row>
    <row r="86" spans="1:19" s="28" customFormat="1" x14ac:dyDescent="0.15">
      <c r="A86" s="33"/>
      <c r="C86" s="32"/>
      <c r="D86" s="32"/>
      <c r="E86" s="32"/>
      <c r="F86" s="32"/>
      <c r="G86" s="32"/>
      <c r="I86" s="33"/>
      <c r="O86" s="57"/>
      <c r="S86" s="32"/>
    </row>
    <row r="87" spans="1:19" s="28" customFormat="1" x14ac:dyDescent="0.15">
      <c r="A87" s="33"/>
      <c r="C87" s="32"/>
      <c r="D87" s="32"/>
      <c r="E87" s="32"/>
      <c r="F87" s="32"/>
      <c r="G87" s="32"/>
      <c r="I87" s="33"/>
      <c r="O87" s="57"/>
      <c r="S87" s="32"/>
    </row>
    <row r="88" spans="1:19" s="28" customFormat="1" x14ac:dyDescent="0.15">
      <c r="A88" s="33"/>
      <c r="C88" s="32"/>
      <c r="D88" s="32"/>
      <c r="E88" s="32"/>
      <c r="F88" s="32"/>
      <c r="G88" s="32"/>
      <c r="I88" s="33"/>
      <c r="O88" s="57"/>
      <c r="S88" s="32"/>
    </row>
    <row r="89" spans="1:19" s="28" customFormat="1" x14ac:dyDescent="0.15">
      <c r="A89" s="33"/>
      <c r="C89" s="32"/>
      <c r="D89" s="32"/>
      <c r="E89" s="32"/>
      <c r="F89" s="32"/>
      <c r="G89" s="32"/>
      <c r="I89" s="33"/>
      <c r="O89" s="57"/>
      <c r="S89" s="32"/>
    </row>
    <row r="90" spans="1:19" s="28" customFormat="1" x14ac:dyDescent="0.15">
      <c r="A90" s="33"/>
      <c r="C90" s="32"/>
      <c r="D90" s="32"/>
      <c r="E90" s="32"/>
      <c r="F90" s="32"/>
      <c r="G90" s="32"/>
      <c r="I90" s="33"/>
      <c r="O90" s="57"/>
      <c r="S90" s="32"/>
    </row>
    <row r="91" spans="1:19" s="28" customFormat="1" x14ac:dyDescent="0.15">
      <c r="A91" s="33"/>
      <c r="C91" s="32"/>
      <c r="D91" s="32"/>
      <c r="E91" s="32"/>
      <c r="F91" s="32"/>
      <c r="G91" s="32"/>
      <c r="I91" s="33"/>
      <c r="O91" s="57"/>
      <c r="S91" s="32"/>
    </row>
    <row r="92" spans="1:19" s="28" customFormat="1" x14ac:dyDescent="0.15">
      <c r="A92" s="33"/>
      <c r="C92" s="32"/>
      <c r="D92" s="32"/>
      <c r="E92" s="32"/>
      <c r="F92" s="32"/>
      <c r="G92" s="32"/>
      <c r="I92" s="33"/>
      <c r="O92" s="57"/>
      <c r="S92" s="32"/>
    </row>
    <row r="93" spans="1:19" s="28" customFormat="1" x14ac:dyDescent="0.15">
      <c r="A93" s="32"/>
      <c r="C93" s="32"/>
      <c r="D93" s="32"/>
      <c r="E93" s="32"/>
      <c r="F93" s="32"/>
      <c r="G93" s="32"/>
      <c r="I93" s="33"/>
      <c r="O93" s="57"/>
      <c r="S93" s="32"/>
    </row>
    <row r="94" spans="1:19" s="28" customFormat="1" x14ac:dyDescent="0.15">
      <c r="A94" s="32"/>
      <c r="C94" s="32"/>
      <c r="D94" s="32"/>
      <c r="E94" s="32"/>
      <c r="F94" s="32"/>
      <c r="G94" s="32"/>
      <c r="I94" s="33"/>
      <c r="O94" s="57"/>
      <c r="S94" s="32"/>
    </row>
    <row r="95" spans="1:19" s="28" customFormat="1" x14ac:dyDescent="0.15">
      <c r="A95" s="32"/>
      <c r="C95" s="32"/>
      <c r="D95" s="32"/>
      <c r="E95" s="32"/>
      <c r="F95" s="32"/>
      <c r="G95" s="32"/>
      <c r="I95" s="33"/>
      <c r="O95" s="57"/>
      <c r="S95" s="32"/>
    </row>
    <row r="96" spans="1:19" s="28" customFormat="1" x14ac:dyDescent="0.15">
      <c r="A96" s="32"/>
      <c r="C96" s="32"/>
      <c r="D96" s="32"/>
      <c r="E96" s="32"/>
      <c r="F96" s="32"/>
      <c r="G96" s="32"/>
      <c r="I96" s="33"/>
      <c r="O96" s="57"/>
      <c r="S96" s="32"/>
    </row>
    <row r="97" spans="1:19" s="28" customFormat="1" x14ac:dyDescent="0.15">
      <c r="A97" s="32"/>
      <c r="C97" s="32"/>
      <c r="D97" s="32"/>
      <c r="E97" s="32"/>
      <c r="F97" s="32"/>
      <c r="G97" s="32"/>
      <c r="I97" s="33"/>
      <c r="O97" s="57"/>
      <c r="S97" s="32"/>
    </row>
    <row r="98" spans="1:19" s="28" customFormat="1" x14ac:dyDescent="0.15">
      <c r="A98" s="32"/>
      <c r="C98" s="32"/>
      <c r="D98" s="32"/>
      <c r="E98" s="32"/>
      <c r="F98" s="32"/>
      <c r="G98" s="32"/>
      <c r="I98" s="33"/>
      <c r="O98" s="57"/>
      <c r="S98" s="32"/>
    </row>
    <row r="99" spans="1:19" s="28" customFormat="1" x14ac:dyDescent="0.15">
      <c r="A99" s="32"/>
      <c r="C99" s="32"/>
      <c r="D99" s="32"/>
      <c r="E99" s="32"/>
      <c r="F99" s="32"/>
      <c r="G99" s="32"/>
      <c r="I99" s="33"/>
      <c r="O99" s="57"/>
      <c r="S99" s="32"/>
    </row>
    <row r="100" spans="1:19" s="28" customFormat="1" x14ac:dyDescent="0.15">
      <c r="A100" s="32"/>
      <c r="C100" s="32"/>
      <c r="D100" s="32"/>
      <c r="E100" s="32"/>
      <c r="F100" s="32"/>
      <c r="G100" s="32"/>
      <c r="I100" s="33"/>
      <c r="O100" s="57"/>
      <c r="S100" s="32"/>
    </row>
    <row r="101" spans="1:19" s="28" customFormat="1" x14ac:dyDescent="0.15">
      <c r="A101" s="32"/>
      <c r="C101" s="32"/>
      <c r="D101" s="32"/>
      <c r="E101" s="32"/>
      <c r="F101" s="32"/>
      <c r="G101" s="32"/>
      <c r="I101" s="33"/>
      <c r="O101" s="57"/>
      <c r="S101" s="32"/>
    </row>
    <row r="102" spans="1:19" s="28" customFormat="1" x14ac:dyDescent="0.15">
      <c r="A102" s="32"/>
      <c r="C102" s="32"/>
      <c r="D102" s="32"/>
      <c r="E102" s="32"/>
      <c r="F102" s="32"/>
      <c r="G102" s="32"/>
      <c r="I102" s="33"/>
      <c r="O102" s="57"/>
      <c r="S102" s="32"/>
    </row>
    <row r="103" spans="1:19" s="28" customFormat="1" x14ac:dyDescent="0.15">
      <c r="A103" s="32"/>
      <c r="C103" s="32"/>
      <c r="D103" s="32"/>
      <c r="E103" s="32"/>
      <c r="F103" s="32"/>
      <c r="G103" s="32"/>
      <c r="I103" s="33"/>
      <c r="O103" s="57"/>
      <c r="S103" s="32"/>
    </row>
    <row r="104" spans="1:19" s="28" customFormat="1" x14ac:dyDescent="0.15">
      <c r="A104" s="32"/>
      <c r="C104" s="32"/>
      <c r="D104" s="32"/>
      <c r="E104" s="32"/>
      <c r="F104" s="32"/>
      <c r="G104" s="32"/>
      <c r="I104" s="33"/>
      <c r="O104" s="57"/>
      <c r="S104" s="32"/>
    </row>
    <row r="105" spans="1:19" s="28" customFormat="1" x14ac:dyDescent="0.15">
      <c r="A105" s="32"/>
      <c r="C105" s="32"/>
      <c r="D105" s="32"/>
      <c r="E105" s="32"/>
      <c r="F105" s="32"/>
      <c r="G105" s="32"/>
      <c r="I105" s="33"/>
      <c r="O105" s="57"/>
      <c r="S105" s="32"/>
    </row>
    <row r="106" spans="1:19" s="28" customFormat="1" x14ac:dyDescent="0.15">
      <c r="A106" s="32"/>
      <c r="C106" s="32"/>
      <c r="D106" s="32"/>
      <c r="E106" s="32"/>
      <c r="F106" s="32"/>
      <c r="G106" s="32"/>
      <c r="I106" s="33"/>
      <c r="O106" s="57"/>
      <c r="S106" s="32"/>
    </row>
    <row r="107" spans="1:19" s="28" customFormat="1" x14ac:dyDescent="0.15">
      <c r="A107" s="32"/>
      <c r="C107" s="32"/>
      <c r="D107" s="32"/>
      <c r="E107" s="32"/>
      <c r="F107" s="32"/>
      <c r="G107" s="32"/>
      <c r="I107" s="33"/>
      <c r="O107" s="57"/>
      <c r="S107" s="32"/>
    </row>
    <row r="108" spans="1:19" s="28" customFormat="1" x14ac:dyDescent="0.15">
      <c r="A108" s="32"/>
      <c r="C108" s="32"/>
      <c r="D108" s="32"/>
      <c r="E108" s="32"/>
      <c r="F108" s="32"/>
      <c r="G108" s="32"/>
      <c r="I108" s="33"/>
      <c r="O108" s="57"/>
      <c r="S108" s="32"/>
    </row>
    <row r="109" spans="1:19" s="28" customFormat="1" x14ac:dyDescent="0.15">
      <c r="A109" s="32"/>
      <c r="C109" s="32"/>
      <c r="D109" s="32"/>
      <c r="E109" s="32"/>
      <c r="F109" s="32"/>
      <c r="G109" s="32"/>
      <c r="I109" s="33"/>
      <c r="O109" s="57"/>
      <c r="S109" s="32"/>
    </row>
    <row r="110" spans="1:19" s="28" customFormat="1" x14ac:dyDescent="0.15">
      <c r="A110" s="32"/>
      <c r="C110" s="32"/>
      <c r="D110" s="32"/>
      <c r="E110" s="32"/>
      <c r="F110" s="32"/>
      <c r="G110" s="32"/>
      <c r="I110" s="33"/>
      <c r="O110" s="57"/>
      <c r="S110" s="32"/>
    </row>
    <row r="111" spans="1:19" s="28" customFormat="1" x14ac:dyDescent="0.15">
      <c r="A111" s="32"/>
      <c r="C111" s="32"/>
      <c r="D111" s="32"/>
      <c r="E111" s="32"/>
      <c r="F111" s="32"/>
      <c r="G111" s="32"/>
      <c r="I111" s="33"/>
      <c r="O111" s="57"/>
      <c r="S111" s="32"/>
    </row>
    <row r="112" spans="1:19" s="28" customFormat="1" x14ac:dyDescent="0.15">
      <c r="A112" s="32"/>
      <c r="C112" s="32"/>
      <c r="D112" s="32"/>
      <c r="E112" s="32"/>
      <c r="F112" s="32"/>
      <c r="G112" s="32"/>
      <c r="I112" s="33"/>
      <c r="O112" s="57"/>
      <c r="S112" s="32"/>
    </row>
    <row r="113" spans="1:19" s="28" customFormat="1" x14ac:dyDescent="0.15">
      <c r="A113" s="32"/>
      <c r="C113" s="32"/>
      <c r="D113" s="32"/>
      <c r="E113" s="32"/>
      <c r="F113" s="32"/>
      <c r="G113" s="32"/>
      <c r="I113" s="33"/>
      <c r="O113" s="57"/>
      <c r="S113" s="32"/>
    </row>
    <row r="114" spans="1:19" s="28" customFormat="1" x14ac:dyDescent="0.15">
      <c r="A114" s="32"/>
      <c r="C114" s="32"/>
      <c r="D114" s="32"/>
      <c r="E114" s="32"/>
      <c r="F114" s="32"/>
      <c r="G114" s="32"/>
      <c r="I114" s="33"/>
      <c r="O114" s="57"/>
      <c r="S114" s="32"/>
    </row>
    <row r="115" spans="1:19" s="28" customFormat="1" x14ac:dyDescent="0.15">
      <c r="A115" s="32"/>
      <c r="C115" s="32"/>
      <c r="D115" s="32"/>
      <c r="E115" s="32"/>
      <c r="F115" s="32"/>
      <c r="G115" s="32"/>
      <c r="I115" s="33"/>
      <c r="O115" s="57"/>
      <c r="S115" s="32"/>
    </row>
    <row r="116" spans="1:19" s="28" customFormat="1" x14ac:dyDescent="0.15">
      <c r="A116" s="32"/>
      <c r="C116" s="32"/>
      <c r="D116" s="32"/>
      <c r="E116" s="32"/>
      <c r="F116" s="32"/>
      <c r="G116" s="32"/>
      <c r="I116" s="33"/>
      <c r="O116" s="57"/>
      <c r="S116" s="32"/>
    </row>
    <row r="117" spans="1:19" s="28" customFormat="1" x14ac:dyDescent="0.15">
      <c r="A117" s="32"/>
      <c r="C117" s="32"/>
      <c r="D117" s="32"/>
      <c r="E117" s="32"/>
      <c r="F117" s="32"/>
      <c r="G117" s="32"/>
      <c r="I117" s="33"/>
      <c r="O117" s="57"/>
      <c r="S117" s="32"/>
    </row>
    <row r="118" spans="1:19" s="28" customFormat="1" x14ac:dyDescent="0.15">
      <c r="A118" s="32"/>
      <c r="C118" s="32"/>
      <c r="D118" s="32"/>
      <c r="E118" s="32"/>
      <c r="F118" s="32"/>
      <c r="G118" s="32"/>
      <c r="I118" s="33"/>
      <c r="O118" s="57"/>
      <c r="S118" s="32"/>
    </row>
    <row r="119" spans="1:19" s="28" customFormat="1" x14ac:dyDescent="0.15">
      <c r="A119" s="32"/>
      <c r="C119" s="32"/>
      <c r="D119" s="32"/>
      <c r="E119" s="32"/>
      <c r="F119" s="32"/>
      <c r="G119" s="32"/>
      <c r="I119" s="33"/>
      <c r="O119" s="57"/>
      <c r="S119" s="32"/>
    </row>
    <row r="120" spans="1:19" s="28" customFormat="1" x14ac:dyDescent="0.15">
      <c r="A120" s="32"/>
      <c r="C120" s="32"/>
      <c r="D120" s="32"/>
      <c r="E120" s="32"/>
      <c r="F120" s="32"/>
      <c r="G120" s="32"/>
      <c r="I120" s="33"/>
      <c r="O120" s="57"/>
      <c r="S120" s="32"/>
    </row>
    <row r="121" spans="1:19" s="28" customFormat="1" x14ac:dyDescent="0.15">
      <c r="A121" s="32"/>
      <c r="C121" s="32"/>
      <c r="D121" s="32"/>
      <c r="E121" s="32"/>
      <c r="F121" s="32"/>
      <c r="G121" s="32"/>
      <c r="I121" s="33"/>
      <c r="O121" s="57"/>
      <c r="S121" s="32"/>
    </row>
    <row r="122" spans="1:19" s="28" customFormat="1" x14ac:dyDescent="0.15">
      <c r="A122" s="32"/>
      <c r="C122" s="32"/>
      <c r="D122" s="32"/>
      <c r="E122" s="32"/>
      <c r="F122" s="32"/>
      <c r="G122" s="32"/>
      <c r="I122" s="33"/>
      <c r="O122" s="57"/>
      <c r="S122" s="32"/>
    </row>
    <row r="123" spans="1:19" s="28" customFormat="1" x14ac:dyDescent="0.15">
      <c r="A123" s="32"/>
      <c r="C123" s="32"/>
      <c r="D123" s="32"/>
      <c r="E123" s="32"/>
      <c r="F123" s="32"/>
      <c r="G123" s="32"/>
      <c r="I123" s="33"/>
      <c r="O123" s="57"/>
      <c r="S123" s="32"/>
    </row>
  </sheetData>
  <phoneticPr fontId="16" type="noConversion"/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Pict="0" macro="[0]!多脚本_生成所在行并执行">
                <anchor>
                  <from>
                    <xdr:col>7</xdr:col>
                    <xdr:colOff>600075</xdr:colOff>
                    <xdr:row>18</xdr:row>
                    <xdr:rowOff>0</xdr:rowOff>
                  </from>
                  <to>
                    <xdr:col>9</xdr:col>
                    <xdr:colOff>200025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Pict="0" macro="[0]!多脚本_生成所在行并打开">
                <anchor>
                  <from>
                    <xdr:col>6</xdr:col>
                    <xdr:colOff>180975</xdr:colOff>
                    <xdr:row>18</xdr:row>
                    <xdr:rowOff>0</xdr:rowOff>
                  </from>
                  <to>
                    <xdr:col>7</xdr:col>
                    <xdr:colOff>381000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Pict="0" macro="[0]!多脚本_批量替换并打开文件">
                <anchor>
                  <from>
                    <xdr:col>9</xdr:col>
                    <xdr:colOff>533400</xdr:colOff>
                    <xdr:row>18</xdr:row>
                    <xdr:rowOff>9525</xdr:rowOff>
                  </from>
                  <to>
                    <xdr:col>10</xdr:col>
                    <xdr:colOff>647700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Pict="0" macro="[0]!多脚本_批量替换并执行文件">
                <anchor>
                  <from>
                    <xdr:col>10</xdr:col>
                    <xdr:colOff>771525</xdr:colOff>
                    <xdr:row>18</xdr:row>
                    <xdr:rowOff>9525</xdr:rowOff>
                  </from>
                  <to>
                    <xdr:col>11</xdr:col>
                    <xdr:colOff>733425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Pict="0" macro="[0]!结束脚本">
                <anchor>
                  <from>
                    <xdr:col>11</xdr:col>
                    <xdr:colOff>762000</xdr:colOff>
                    <xdr:row>18</xdr:row>
                    <xdr:rowOff>9525</xdr:rowOff>
                  </from>
                  <to>
                    <xdr:col>11</xdr:col>
                    <xdr:colOff>1657350</xdr:colOff>
                    <xdr:row>18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Button 6">
              <controlPr defaultSize="0" print="0" autoPict="0" macro="[0]!获取当前文件夹的文件列表信息">
                <anchor>
                  <from>
                    <xdr:col>12</xdr:col>
                    <xdr:colOff>438150</xdr:colOff>
                    <xdr:row>18</xdr:row>
                    <xdr:rowOff>0</xdr:rowOff>
                  </from>
                  <to>
                    <xdr:col>13</xdr:col>
                    <xdr:colOff>381000</xdr:colOff>
                    <xdr:row>18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[1]常用代码!#REF!</xm:f>
          </x14:formula1>
          <xm:sqref>A3 A60:A92</xm:sqref>
        </x14:dataValidation>
        <x14:dataValidation type="list" allowBlank="1" showInputMessage="1" showErrorMessage="1">
          <x14:formula1>
            <xm:f>常用代码!$C:$C</xm:f>
          </x14:formula1>
          <xm:sqref>A21:A59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3"/>
  <sheetViews>
    <sheetView workbookViewId="0">
      <selection activeCell="E13" sqref="E13"/>
    </sheetView>
  </sheetViews>
  <sheetFormatPr defaultColWidth="9" defaultRowHeight="13.5" x14ac:dyDescent="0.15"/>
  <cols>
    <col min="1" max="1" width="13.25" style="17" customWidth="1"/>
    <col min="2" max="2" width="9" style="17" customWidth="1"/>
    <col min="3" max="3" width="12.75" style="17" customWidth="1"/>
    <col min="4" max="4" width="12.625" style="11" customWidth="1"/>
    <col min="5" max="5" width="13" style="17" customWidth="1"/>
    <col min="6" max="6" width="14.25" style="17" customWidth="1"/>
    <col min="7" max="7" width="13.75" style="17" customWidth="1"/>
    <col min="8" max="8" width="15.375" style="17" customWidth="1"/>
    <col min="9" max="9" width="10.75" style="17" customWidth="1"/>
    <col min="10" max="10" width="14.25" style="17" customWidth="1"/>
    <col min="11" max="11" width="2.5" style="17" customWidth="1"/>
    <col min="12" max="12" width="9.75" style="17" customWidth="1"/>
    <col min="13" max="13" width="14.125" style="17" customWidth="1"/>
    <col min="14" max="14" width="11.75" style="17" customWidth="1"/>
    <col min="15" max="15" width="7.5" style="17" customWidth="1"/>
    <col min="16" max="16" width="8" style="17" customWidth="1"/>
    <col min="17" max="17" width="7.75" style="17" customWidth="1"/>
    <col min="18" max="18" width="6.375" style="17" customWidth="1"/>
    <col min="19" max="19" width="9" style="17"/>
    <col min="20" max="26" width="8.125" style="17" customWidth="1"/>
    <col min="27" max="16384" width="9" style="17"/>
  </cols>
  <sheetData>
    <row r="1" spans="1:48" s="8" customFormat="1" ht="15" x14ac:dyDescent="0.15">
      <c r="A1" s="18" t="s">
        <v>16</v>
      </c>
      <c r="B1" s="18" t="s">
        <v>60</v>
      </c>
      <c r="C1" s="18" t="s">
        <v>17</v>
      </c>
      <c r="D1" s="18" t="s">
        <v>61</v>
      </c>
      <c r="E1" s="18" t="s">
        <v>19</v>
      </c>
      <c r="F1" s="18" t="s">
        <v>20</v>
      </c>
      <c r="G1" s="18" t="s">
        <v>18</v>
      </c>
      <c r="H1" s="18" t="s">
        <v>22</v>
      </c>
      <c r="I1" s="23"/>
      <c r="J1" s="23"/>
      <c r="K1" s="23"/>
      <c r="L1" s="23"/>
      <c r="M1" s="23"/>
      <c r="N1" s="23"/>
      <c r="O1" s="23"/>
      <c r="P1" s="23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</row>
    <row r="2" spans="1:48" ht="15" x14ac:dyDescent="0.15">
      <c r="A2" s="18" t="s">
        <v>26</v>
      </c>
      <c r="B2" s="18" t="s">
        <v>62</v>
      </c>
      <c r="C2" s="72" t="s">
        <v>63</v>
      </c>
      <c r="D2" s="19"/>
      <c r="E2" s="19">
        <v>2278891090</v>
      </c>
      <c r="F2" s="20" t="s">
        <v>64</v>
      </c>
      <c r="G2" s="18" t="s">
        <v>26</v>
      </c>
      <c r="H2" s="18" t="s">
        <v>26</v>
      </c>
      <c r="I2" s="24"/>
      <c r="J2" s="24"/>
      <c r="K2" s="25"/>
      <c r="L2" s="25"/>
      <c r="M2" s="25"/>
      <c r="N2" s="24"/>
      <c r="O2" s="24"/>
      <c r="P2" s="24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</row>
    <row r="3" spans="1:48" x14ac:dyDescent="0.15">
      <c r="A3" s="21" t="s">
        <v>24</v>
      </c>
      <c r="C3" s="72" t="s">
        <v>63</v>
      </c>
      <c r="E3" s="17">
        <v>1601366781</v>
      </c>
      <c r="F3" s="22" t="s">
        <v>65</v>
      </c>
      <c r="G3" s="21" t="s">
        <v>24</v>
      </c>
      <c r="H3" s="21" t="s">
        <v>24</v>
      </c>
    </row>
  </sheetData>
  <phoneticPr fontId="16" type="noConversion"/>
  <hyperlinks>
    <hyperlink ref="F2" r:id="rId1" tooltip="mailto:111111@qq.com"/>
    <hyperlink ref="F3" r:id="rId2" tooltip="mailto:222222@qq.com"/>
  </hyperlinks>
  <pageMargins left="0.69930555555555596" right="0.69930555555555596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 x14ac:dyDescent="0.15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 x14ac:dyDescent="0.15">
      <c r="A1" t="s">
        <v>66</v>
      </c>
      <c r="B1" s="3" t="s">
        <v>67</v>
      </c>
      <c r="C1" s="4"/>
      <c r="D1" s="5"/>
    </row>
    <row r="2" spans="1:4" x14ac:dyDescent="0.15">
      <c r="A2" t="s">
        <v>68</v>
      </c>
      <c r="B2" s="6" t="s">
        <v>69</v>
      </c>
      <c r="C2" s="7"/>
      <c r="D2" s="8"/>
    </row>
    <row r="3" spans="1:4" x14ac:dyDescent="0.15">
      <c r="A3" t="s">
        <v>70</v>
      </c>
      <c r="B3" s="9" t="s">
        <v>71</v>
      </c>
      <c r="C3" s="4"/>
      <c r="D3" s="7"/>
    </row>
    <row r="4" spans="1:4" x14ac:dyDescent="0.15">
      <c r="A4" t="s">
        <v>72</v>
      </c>
      <c r="B4" s="9" t="s">
        <v>73</v>
      </c>
      <c r="C4" s="4"/>
      <c r="D4" s="7"/>
    </row>
    <row r="5" spans="1:4" x14ac:dyDescent="0.15">
      <c r="A5" t="s">
        <v>74</v>
      </c>
      <c r="B5" s="9" t="s">
        <v>75</v>
      </c>
      <c r="C5" s="10"/>
      <c r="D5" s="11"/>
    </row>
    <row r="6" spans="1:4" x14ac:dyDescent="0.15">
      <c r="A6" t="s">
        <v>76</v>
      </c>
      <c r="B6" s="9" t="s">
        <v>77</v>
      </c>
      <c r="C6" s="10"/>
    </row>
    <row r="7" spans="1:4" x14ac:dyDescent="0.15">
      <c r="A7" t="s">
        <v>78</v>
      </c>
      <c r="B7" s="9" t="s">
        <v>79</v>
      </c>
      <c r="C7" s="12"/>
    </row>
    <row r="8" spans="1:4" x14ac:dyDescent="0.15">
      <c r="A8" t="s">
        <v>80</v>
      </c>
    </row>
    <row r="9" spans="1:4" x14ac:dyDescent="0.15">
      <c r="A9" t="s">
        <v>81</v>
      </c>
      <c r="B9" s="13" t="s">
        <v>82</v>
      </c>
    </row>
    <row r="10" spans="1:4" x14ac:dyDescent="0.15">
      <c r="A10" t="s">
        <v>83</v>
      </c>
      <c r="B10" s="14" t="s">
        <v>84</v>
      </c>
      <c r="C10" s="14"/>
    </row>
    <row r="11" spans="1:4" x14ac:dyDescent="0.15">
      <c r="A11" t="s">
        <v>85</v>
      </c>
      <c r="B11" s="14" t="s">
        <v>86</v>
      </c>
      <c r="C11" s="14"/>
    </row>
    <row r="12" spans="1:4" x14ac:dyDescent="0.15">
      <c r="A12" t="s">
        <v>87</v>
      </c>
    </row>
    <row r="13" spans="1:4" x14ac:dyDescent="0.15">
      <c r="A13" t="s">
        <v>88</v>
      </c>
      <c r="B13" s="13" t="s">
        <v>89</v>
      </c>
    </row>
    <row r="14" spans="1:4" x14ac:dyDescent="0.15">
      <c r="A14" t="s">
        <v>90</v>
      </c>
      <c r="B14" s="15" t="s">
        <v>91</v>
      </c>
      <c r="C14" s="16"/>
    </row>
    <row r="15" spans="1:4" x14ac:dyDescent="0.15">
      <c r="A15" t="s">
        <v>92</v>
      </c>
      <c r="B15" s="15" t="s">
        <v>93</v>
      </c>
      <c r="C15" s="15"/>
    </row>
    <row r="16" spans="1:4" x14ac:dyDescent="0.15">
      <c r="A16" t="s">
        <v>94</v>
      </c>
      <c r="B16" t="s">
        <v>95</v>
      </c>
    </row>
    <row r="17" spans="1:3" x14ac:dyDescent="0.15">
      <c r="A17" t="s">
        <v>96</v>
      </c>
      <c r="B17" s="15" t="s">
        <v>97</v>
      </c>
      <c r="C17" s="15"/>
    </row>
    <row r="18" spans="1:3" x14ac:dyDescent="0.15">
      <c r="A18" t="s">
        <v>98</v>
      </c>
      <c r="B18" s="15" t="s">
        <v>99</v>
      </c>
      <c r="C18" s="15"/>
    </row>
    <row r="19" spans="1:3" x14ac:dyDescent="0.15">
      <c r="A19" t="s">
        <v>100</v>
      </c>
      <c r="B19" s="15" t="s">
        <v>101</v>
      </c>
      <c r="C19" s="15"/>
    </row>
    <row r="20" spans="1:3" x14ac:dyDescent="0.15">
      <c r="A20" t="s">
        <v>102</v>
      </c>
      <c r="B20" t="s">
        <v>103</v>
      </c>
    </row>
    <row r="21" spans="1:3" x14ac:dyDescent="0.15">
      <c r="A21" t="s">
        <v>104</v>
      </c>
    </row>
    <row r="22" spans="1:3" x14ac:dyDescent="0.15">
      <c r="A22" t="s">
        <v>105</v>
      </c>
    </row>
    <row r="23" spans="1:3" x14ac:dyDescent="0.15">
      <c r="A23" t="s">
        <v>106</v>
      </c>
    </row>
    <row r="24" spans="1:3" x14ac:dyDescent="0.15">
      <c r="A24" t="s">
        <v>107</v>
      </c>
    </row>
    <row r="25" spans="1:3" x14ac:dyDescent="0.15">
      <c r="A25" t="s">
        <v>108</v>
      </c>
    </row>
    <row r="26" spans="1:3" x14ac:dyDescent="0.15">
      <c r="A26" t="s">
        <v>109</v>
      </c>
    </row>
    <row r="27" spans="1:3" x14ac:dyDescent="0.15">
      <c r="A27" t="s">
        <v>110</v>
      </c>
    </row>
    <row r="28" spans="1:3" x14ac:dyDescent="0.15">
      <c r="A28" t="s">
        <v>111</v>
      </c>
    </row>
    <row r="29" spans="1:3" x14ac:dyDescent="0.15">
      <c r="A29" t="s">
        <v>112</v>
      </c>
    </row>
    <row r="30" spans="1:3" x14ac:dyDescent="0.15">
      <c r="A30" t="s">
        <v>113</v>
      </c>
    </row>
  </sheetData>
  <phoneticPr fontId="16" type="noConversion"/>
  <conditionalFormatting sqref="B1">
    <cfRule type="containsText" dxfId="5" priority="4" operator="containsText" text=" ">
      <formula>NOT(ISERROR(SEARCH(" ",B1)))</formula>
    </cfRule>
    <cfRule type="containsText" dxfId="4" priority="5" operator="containsText" text=" ">
      <formula>NOT(ISERROR(SEARCH(" ",B1)))</formula>
    </cfRule>
    <cfRule type="containsText" dxfId="3" priority="6" operator="containsText" text=" ">
      <formula>NOT(ISERROR(SEARCH(" ",B1)))</formula>
    </cfRule>
  </conditionalFormatting>
  <conditionalFormatting sqref="C1">
    <cfRule type="containsText" dxfId="2" priority="8" operator="containsText" text=" ">
      <formula>NOT(ISERROR(SEARCH(" ",C1)))</formula>
    </cfRule>
  </conditionalFormatting>
  <conditionalFormatting sqref="D1">
    <cfRule type="containsText" dxfId="1" priority="7" operator="containsText" text=" ">
      <formula>NOT(ISERROR(SEARCH(" ",D1)))</formula>
    </cfRule>
  </conditionalFormatting>
  <conditionalFormatting sqref="B2">
    <cfRule type="containsText" dxfId="0" priority="1" operator="containsText" text=" ">
      <formula>NOT(ISERROR(SEARCH(" ",B2)))</formula>
    </cfRule>
  </conditionalFormatting>
  <dataValidations count="2"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9"/>
  <sheetViews>
    <sheetView workbookViewId="0">
      <selection activeCell="C7" sqref="C7"/>
    </sheetView>
  </sheetViews>
  <sheetFormatPr defaultColWidth="9" defaultRowHeight="13.5" x14ac:dyDescent="0.15"/>
  <cols>
    <col min="2" max="2" width="9" customWidth="1"/>
    <col min="3" max="3" width="29.875" customWidth="1"/>
    <col min="4" max="4" width="84" customWidth="1"/>
    <col min="5" max="5" width="3.125" customWidth="1"/>
  </cols>
  <sheetData>
    <row r="1" spans="1:9" x14ac:dyDescent="0.15">
      <c r="A1" t="s">
        <v>114</v>
      </c>
      <c r="B1" t="s">
        <v>115</v>
      </c>
      <c r="C1" t="s">
        <v>116</v>
      </c>
      <c r="D1" t="s">
        <v>117</v>
      </c>
      <c r="F1" t="s">
        <v>118</v>
      </c>
      <c r="G1" t="s">
        <v>119</v>
      </c>
      <c r="H1" t="s">
        <v>120</v>
      </c>
    </row>
    <row r="2" spans="1:9" x14ac:dyDescent="0.15">
      <c r="A2" t="s">
        <v>121</v>
      </c>
      <c r="B2" t="s">
        <v>122</v>
      </c>
      <c r="C2" s="1" t="s">
        <v>123</v>
      </c>
      <c r="D2" t="s">
        <v>124</v>
      </c>
      <c r="F2" s="1" t="s">
        <v>125</v>
      </c>
      <c r="I2" t="s">
        <v>126</v>
      </c>
    </row>
    <row r="3" spans="1:9" x14ac:dyDescent="0.15">
      <c r="A3" t="s">
        <v>121</v>
      </c>
      <c r="B3" t="s">
        <v>122</v>
      </c>
      <c r="C3" s="1" t="s">
        <v>127</v>
      </c>
      <c r="D3" t="s">
        <v>128</v>
      </c>
      <c r="F3" t="s">
        <v>126</v>
      </c>
      <c r="I3" t="s">
        <v>126</v>
      </c>
    </row>
    <row r="4" spans="1:9" x14ac:dyDescent="0.15">
      <c r="A4" t="s">
        <v>121</v>
      </c>
      <c r="B4" t="s">
        <v>122</v>
      </c>
      <c r="C4" t="s">
        <v>0</v>
      </c>
      <c r="D4" t="s">
        <v>129</v>
      </c>
      <c r="F4" t="s">
        <v>126</v>
      </c>
      <c r="I4" t="s">
        <v>126</v>
      </c>
    </row>
    <row r="5" spans="1:9" x14ac:dyDescent="0.15">
      <c r="A5" t="s">
        <v>121</v>
      </c>
      <c r="B5" t="s">
        <v>122</v>
      </c>
      <c r="C5" t="s">
        <v>130</v>
      </c>
      <c r="D5" t="s">
        <v>131</v>
      </c>
      <c r="F5" s="1" t="s">
        <v>132</v>
      </c>
      <c r="I5" t="s">
        <v>126</v>
      </c>
    </row>
    <row r="6" spans="1:9" x14ac:dyDescent="0.15">
      <c r="A6" t="s">
        <v>121</v>
      </c>
      <c r="B6" t="s">
        <v>122</v>
      </c>
      <c r="C6" t="s">
        <v>133</v>
      </c>
      <c r="D6" t="s">
        <v>134</v>
      </c>
      <c r="F6" t="s">
        <v>135</v>
      </c>
    </row>
    <row r="7" spans="1:9" x14ac:dyDescent="0.15">
      <c r="A7" t="s">
        <v>121</v>
      </c>
      <c r="B7" t="s">
        <v>122</v>
      </c>
      <c r="C7" t="s">
        <v>136</v>
      </c>
      <c r="D7" t="s">
        <v>137</v>
      </c>
      <c r="F7" t="s">
        <v>138</v>
      </c>
    </row>
    <row r="8" spans="1:9" x14ac:dyDescent="0.15">
      <c r="A8" t="s">
        <v>121</v>
      </c>
      <c r="B8" t="s">
        <v>122</v>
      </c>
      <c r="C8" t="s">
        <v>139</v>
      </c>
      <c r="D8" t="s">
        <v>140</v>
      </c>
      <c r="F8" t="s">
        <v>138</v>
      </c>
    </row>
    <row r="9" spans="1:9" x14ac:dyDescent="0.15">
      <c r="A9" t="s">
        <v>121</v>
      </c>
      <c r="B9" t="s">
        <v>122</v>
      </c>
      <c r="C9" t="s">
        <v>141</v>
      </c>
      <c r="D9" t="s">
        <v>142</v>
      </c>
      <c r="F9" t="s">
        <v>135</v>
      </c>
    </row>
    <row r="10" spans="1:9" x14ac:dyDescent="0.15">
      <c r="A10" t="s">
        <v>121</v>
      </c>
      <c r="B10" t="s">
        <v>122</v>
      </c>
      <c r="C10" s="1" t="s">
        <v>143</v>
      </c>
      <c r="D10" t="s">
        <v>142</v>
      </c>
      <c r="F10" t="s">
        <v>144</v>
      </c>
    </row>
    <row r="11" spans="1:9" x14ac:dyDescent="0.15">
      <c r="A11" t="s">
        <v>121</v>
      </c>
      <c r="B11" t="s">
        <v>122</v>
      </c>
      <c r="C11" t="s">
        <v>145</v>
      </c>
      <c r="D11" t="s">
        <v>146</v>
      </c>
      <c r="F11" t="s">
        <v>135</v>
      </c>
    </row>
    <row r="12" spans="1:9" x14ac:dyDescent="0.15">
      <c r="A12" t="s">
        <v>121</v>
      </c>
      <c r="B12" t="s">
        <v>122</v>
      </c>
      <c r="C12" t="s">
        <v>56</v>
      </c>
      <c r="D12" t="s">
        <v>147</v>
      </c>
      <c r="F12" t="s">
        <v>148</v>
      </c>
    </row>
    <row r="13" spans="1:9" ht="297" x14ac:dyDescent="0.15">
      <c r="A13" t="s">
        <v>121</v>
      </c>
      <c r="B13" t="s">
        <v>122</v>
      </c>
      <c r="C13" t="s">
        <v>149</v>
      </c>
      <c r="D13" s="76" t="s">
        <v>216</v>
      </c>
      <c r="F13" t="s">
        <v>138</v>
      </c>
    </row>
    <row r="14" spans="1:9" x14ac:dyDescent="0.15">
      <c r="A14" t="s">
        <v>121</v>
      </c>
      <c r="B14" t="s">
        <v>122</v>
      </c>
      <c r="C14" t="s">
        <v>57</v>
      </c>
      <c r="D14" t="s">
        <v>150</v>
      </c>
      <c r="F14" t="s">
        <v>138</v>
      </c>
    </row>
    <row r="15" spans="1:9" x14ac:dyDescent="0.15">
      <c r="A15" t="s">
        <v>121</v>
      </c>
      <c r="B15" t="s">
        <v>151</v>
      </c>
      <c r="C15" t="s">
        <v>143</v>
      </c>
      <c r="D15" t="s">
        <v>152</v>
      </c>
      <c r="F15" t="s">
        <v>144</v>
      </c>
    </row>
    <row r="16" spans="1:9" x14ac:dyDescent="0.15">
      <c r="A16" t="s">
        <v>121</v>
      </c>
      <c r="B16" t="s">
        <v>151</v>
      </c>
      <c r="C16" t="s">
        <v>153</v>
      </c>
      <c r="D16" t="s">
        <v>154</v>
      </c>
      <c r="F16" t="s">
        <v>155</v>
      </c>
    </row>
    <row r="17" spans="1:6" x14ac:dyDescent="0.15">
      <c r="A17" t="s">
        <v>121</v>
      </c>
      <c r="B17" t="s">
        <v>151</v>
      </c>
      <c r="C17" t="s">
        <v>156</v>
      </c>
      <c r="D17" t="s">
        <v>157</v>
      </c>
      <c r="F17" t="s">
        <v>155</v>
      </c>
    </row>
    <row r="18" spans="1:6" x14ac:dyDescent="0.15">
      <c r="A18" t="s">
        <v>121</v>
      </c>
      <c r="B18" t="s">
        <v>151</v>
      </c>
      <c r="C18" t="s">
        <v>141</v>
      </c>
      <c r="D18" t="s">
        <v>158</v>
      </c>
      <c r="F18" t="s">
        <v>144</v>
      </c>
    </row>
    <row r="19" spans="1:6" x14ac:dyDescent="0.15">
      <c r="A19" t="s">
        <v>121</v>
      </c>
      <c r="B19" t="s">
        <v>151</v>
      </c>
      <c r="C19" t="s">
        <v>159</v>
      </c>
      <c r="D19" t="s">
        <v>160</v>
      </c>
      <c r="F19" t="s">
        <v>144</v>
      </c>
    </row>
    <row r="20" spans="1:6" x14ac:dyDescent="0.15">
      <c r="A20" t="s">
        <v>121</v>
      </c>
      <c r="B20" t="s">
        <v>151</v>
      </c>
      <c r="C20" t="s">
        <v>161</v>
      </c>
      <c r="D20" t="s">
        <v>162</v>
      </c>
      <c r="F20" t="s">
        <v>163</v>
      </c>
    </row>
    <row r="21" spans="1:6" x14ac:dyDescent="0.15">
      <c r="A21" t="s">
        <v>121</v>
      </c>
      <c r="B21" t="s">
        <v>151</v>
      </c>
      <c r="C21" t="s">
        <v>164</v>
      </c>
      <c r="D21" s="73" t="s">
        <v>165</v>
      </c>
      <c r="F21" t="s">
        <v>166</v>
      </c>
    </row>
    <row r="22" spans="1:6" x14ac:dyDescent="0.15">
      <c r="A22" t="s">
        <v>121</v>
      </c>
      <c r="B22" t="s">
        <v>151</v>
      </c>
      <c r="C22" t="s">
        <v>167</v>
      </c>
      <c r="D22" t="s">
        <v>168</v>
      </c>
      <c r="F22" t="s">
        <v>169</v>
      </c>
    </row>
    <row r="23" spans="1:6" x14ac:dyDescent="0.15">
      <c r="A23" t="s">
        <v>121</v>
      </c>
      <c r="B23" t="s">
        <v>151</v>
      </c>
      <c r="C23" t="s">
        <v>170</v>
      </c>
      <c r="D23" t="s">
        <v>171</v>
      </c>
      <c r="F23" t="s">
        <v>155</v>
      </c>
    </row>
    <row r="24" spans="1:6" x14ac:dyDescent="0.15">
      <c r="A24" t="s">
        <v>121</v>
      </c>
      <c r="B24" t="s">
        <v>151</v>
      </c>
      <c r="C24" t="s">
        <v>172</v>
      </c>
      <c r="D24" t="s">
        <v>173</v>
      </c>
      <c r="F24" t="s">
        <v>174</v>
      </c>
    </row>
    <row r="25" spans="1:6" x14ac:dyDescent="0.15">
      <c r="A25" t="s">
        <v>121</v>
      </c>
      <c r="B25" t="s">
        <v>151</v>
      </c>
      <c r="C25" t="s">
        <v>175</v>
      </c>
      <c r="D25" t="s">
        <v>176</v>
      </c>
      <c r="F25" t="s">
        <v>177</v>
      </c>
    </row>
    <row r="26" spans="1:6" x14ac:dyDescent="0.15">
      <c r="A26" t="s">
        <v>121</v>
      </c>
      <c r="B26" t="s">
        <v>151</v>
      </c>
      <c r="C26" t="s">
        <v>178</v>
      </c>
      <c r="D26" t="s">
        <v>179</v>
      </c>
      <c r="F26" t="s">
        <v>144</v>
      </c>
    </row>
    <row r="27" spans="1:6" x14ac:dyDescent="0.15">
      <c r="A27" t="s">
        <v>121</v>
      </c>
      <c r="B27" t="s">
        <v>151</v>
      </c>
      <c r="C27" t="s">
        <v>180</v>
      </c>
      <c r="D27" t="s">
        <v>181</v>
      </c>
      <c r="F27" t="s">
        <v>182</v>
      </c>
    </row>
    <row r="28" spans="1:6" ht="27" x14ac:dyDescent="0.15">
      <c r="A28" t="s">
        <v>183</v>
      </c>
      <c r="B28" t="s">
        <v>184</v>
      </c>
      <c r="C28" t="s">
        <v>185</v>
      </c>
      <c r="D28" s="2" t="s">
        <v>186</v>
      </c>
      <c r="F28" t="s">
        <v>187</v>
      </c>
    </row>
    <row r="29" spans="1:6" x14ac:dyDescent="0.15">
      <c r="A29" t="s">
        <v>183</v>
      </c>
      <c r="B29" t="s">
        <v>184</v>
      </c>
      <c r="C29" t="s">
        <v>30</v>
      </c>
      <c r="D29" t="s">
        <v>30</v>
      </c>
      <c r="F29" t="s">
        <v>188</v>
      </c>
    </row>
    <row r="30" spans="1:6" x14ac:dyDescent="0.15">
      <c r="A30" t="s">
        <v>183</v>
      </c>
      <c r="B30" t="s">
        <v>184</v>
      </c>
      <c r="C30" t="s">
        <v>189</v>
      </c>
      <c r="D30" t="s">
        <v>190</v>
      </c>
      <c r="F30" t="s">
        <v>191</v>
      </c>
    </row>
    <row r="31" spans="1:6" x14ac:dyDescent="0.15">
      <c r="A31" t="s">
        <v>192</v>
      </c>
      <c r="B31" t="s">
        <v>184</v>
      </c>
      <c r="C31" t="s">
        <v>193</v>
      </c>
      <c r="D31" t="s">
        <v>194</v>
      </c>
      <c r="F31" t="s">
        <v>195</v>
      </c>
    </row>
    <row r="32" spans="1:6" x14ac:dyDescent="0.15">
      <c r="A32" t="s">
        <v>192</v>
      </c>
      <c r="B32" t="s">
        <v>184</v>
      </c>
      <c r="C32" t="s">
        <v>196</v>
      </c>
      <c r="D32" t="s">
        <v>197</v>
      </c>
      <c r="F32" t="s">
        <v>198</v>
      </c>
    </row>
    <row r="33" spans="1:6" x14ac:dyDescent="0.15">
      <c r="A33" t="s">
        <v>192</v>
      </c>
      <c r="B33" t="s">
        <v>184</v>
      </c>
      <c r="C33" t="s">
        <v>199</v>
      </c>
      <c r="D33" t="s">
        <v>200</v>
      </c>
      <c r="F33" t="s">
        <v>198</v>
      </c>
    </row>
    <row r="34" spans="1:6" x14ac:dyDescent="0.15">
      <c r="A34" t="s">
        <v>192</v>
      </c>
      <c r="B34" t="s">
        <v>184</v>
      </c>
      <c r="C34" t="s">
        <v>201</v>
      </c>
      <c r="D34" t="s">
        <v>202</v>
      </c>
      <c r="F34" t="s">
        <v>198</v>
      </c>
    </row>
    <row r="35" spans="1:6" x14ac:dyDescent="0.15">
      <c r="A35" t="s">
        <v>192</v>
      </c>
      <c r="B35" t="s">
        <v>203</v>
      </c>
      <c r="C35" t="s">
        <v>204</v>
      </c>
      <c r="D35" t="s">
        <v>205</v>
      </c>
      <c r="F35" t="s">
        <v>148</v>
      </c>
    </row>
    <row r="36" spans="1:6" x14ac:dyDescent="0.15">
      <c r="A36" t="s">
        <v>192</v>
      </c>
      <c r="B36" t="s">
        <v>203</v>
      </c>
      <c r="C36" t="s">
        <v>206</v>
      </c>
      <c r="D36" t="s">
        <v>207</v>
      </c>
      <c r="F36" t="s">
        <v>198</v>
      </c>
    </row>
    <row r="37" spans="1:6" x14ac:dyDescent="0.15">
      <c r="A37" t="s">
        <v>192</v>
      </c>
      <c r="B37" t="s">
        <v>203</v>
      </c>
      <c r="C37" t="s">
        <v>208</v>
      </c>
      <c r="D37" t="s">
        <v>209</v>
      </c>
      <c r="F37" t="s">
        <v>148</v>
      </c>
    </row>
    <row r="38" spans="1:6" x14ac:dyDescent="0.15">
      <c r="A38" t="s">
        <v>192</v>
      </c>
      <c r="B38" t="s">
        <v>184</v>
      </c>
      <c r="C38" t="s">
        <v>210</v>
      </c>
      <c r="D38" t="s">
        <v>211</v>
      </c>
      <c r="F38" t="s">
        <v>198</v>
      </c>
    </row>
    <row r="39" spans="1:6" x14ac:dyDescent="0.15">
      <c r="A39" t="s">
        <v>192</v>
      </c>
      <c r="B39" t="s">
        <v>184</v>
      </c>
      <c r="C39" t="s">
        <v>212</v>
      </c>
      <c r="D39" t="s">
        <v>30</v>
      </c>
      <c r="F39" t="s">
        <v>148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34</vt:i4>
      </vt:variant>
    </vt:vector>
  </HeadingPairs>
  <TitlesOfParts>
    <vt:vector size="39" baseType="lpstr">
      <vt:lpstr>单脚本</vt:lpstr>
      <vt:lpstr>多脚本</vt:lpstr>
      <vt:lpstr>通讯录</vt:lpstr>
      <vt:lpstr>密码区</vt:lpstr>
      <vt:lpstr>常用代码</vt:lpstr>
      <vt:lpstr>通讯录!ExternalData_1</vt:lpstr>
      <vt:lpstr>通讯录!ExternalData_1_1</vt:lpstr>
      <vt:lpstr>通讯录!ExternalData_1_2</vt:lpstr>
      <vt:lpstr>通讯录!ExternalData_1000</vt:lpstr>
      <vt:lpstr>通讯录!ExternalData_1001</vt:lpstr>
      <vt:lpstr>通讯录!ExternalData_1002</vt:lpstr>
      <vt:lpstr>通讯录!ExternalData_1004</vt:lpstr>
      <vt:lpstr>通讯录!ExternalData_1005</vt:lpstr>
      <vt:lpstr>通讯录!ExternalData_1006</vt:lpstr>
      <vt:lpstr>通讯录!ExternalData_1007</vt:lpstr>
      <vt:lpstr>通讯录!ExternalData_1009</vt:lpstr>
      <vt:lpstr>通讯录!ExternalData_1010</vt:lpstr>
      <vt:lpstr>通讯录!ExternalData_1011</vt:lpstr>
      <vt:lpstr>通讯录!ExternalData_1012</vt:lpstr>
      <vt:lpstr>通讯录!ExternalData_1013</vt:lpstr>
      <vt:lpstr>通讯录!ExternalData_1014</vt:lpstr>
      <vt:lpstr>通讯录!ExternalData_1015</vt:lpstr>
      <vt:lpstr>通讯录!ExternalData_1016</vt:lpstr>
      <vt:lpstr>通讯录!ExternalData_1017</vt:lpstr>
      <vt:lpstr>通讯录!ExternalData_1018</vt:lpstr>
      <vt:lpstr>通讯录!ExternalData_1019</vt:lpstr>
      <vt:lpstr>通讯录!ExternalData_1020</vt:lpstr>
      <vt:lpstr>通讯录!ExternalData_1022</vt:lpstr>
      <vt:lpstr>通讯录!ExternalData_1023</vt:lpstr>
      <vt:lpstr>通讯录!ExternalData_989</vt:lpstr>
      <vt:lpstr>通讯录!ExternalData_990</vt:lpstr>
      <vt:lpstr>通讯录!ExternalData_991</vt:lpstr>
      <vt:lpstr>通讯录!ExternalData_992</vt:lpstr>
      <vt:lpstr>通讯录!ExternalData_994</vt:lpstr>
      <vt:lpstr>通讯录!ExternalData_995</vt:lpstr>
      <vt:lpstr>通讯录!ExternalData_996</vt:lpstr>
      <vt:lpstr>通讯录!ExternalData_997</vt:lpstr>
      <vt:lpstr>通讯录!ExternalData_998</vt:lpstr>
      <vt:lpstr>通讯录!ExternalData_999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cp:lastPrinted>2020-05-27T01:56:00Z</cp:lastPrinted>
  <dcterms:created xsi:type="dcterms:W3CDTF">2006-09-16T00:00:00Z</dcterms:created>
  <dcterms:modified xsi:type="dcterms:W3CDTF">2021-10-20T12:39:14Z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