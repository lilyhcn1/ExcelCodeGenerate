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895" windowHeight="10305"/>
  </bookViews>
  <sheets>
    <sheet name="多脚本" sheetId="1" r:id="rId1"/>
    <sheet name="密码区" sheetId="2" r:id="rId2"/>
    <sheet name="常用代码" sheetId="3" r:id="rId3"/>
  </sheets>
  <calcPr calcId="144525"/>
</workbook>
</file>

<file path=xl/comments1.xml><?xml version="1.0" encoding="utf-8"?>
<comments xmlns="http://schemas.openxmlformats.org/spreadsheetml/2006/main">
  <authors>
    <author>xb21cn</author>
  </authors>
  <commentList>
    <comment ref="C3" authorId="0">
      <text>
        <r>
          <rPr>
            <sz val="9"/>
            <color indexed="81"/>
            <rFont val="宋体"/>
            <charset val="134"/>
          </rPr>
          <t xml:space="preserve">xb21cn:
有查看密码可以看所有数据，有上传密码可以修改数据。</t>
        </r>
      </text>
    </comment>
    <comment ref="C4" authorId="0">
      <text>
        <r>
          <rPr>
            <sz val="9"/>
            <color indexed="81"/>
            <rFont val="宋体"/>
            <charset val="134"/>
          </rPr>
          <t xml:space="preserve">xb21cn:
有查看密码可以看所有数据，有上传密码可以修改数据。</t>
        </r>
      </text>
    </comment>
  </commentList>
</comments>
</file>

<file path=xl/sharedStrings.xml><?xml version="1.0" encoding="utf-8"?>
<sst xmlns="http://schemas.openxmlformats.org/spreadsheetml/2006/main" count="177">
  <si>
    <t>生成文件</t>
  </si>
  <si>
    <t>老黄牛工具.reg</t>
  </si>
  <si>
    <t>第20行为注释行</t>
  </si>
  <si>
    <t>注册表菜单原始代码</t>
  </si>
  <si>
    <t>参数01</t>
  </si>
  <si>
    <t>参数02</t>
  </si>
  <si>
    <t>参数03</t>
  </si>
  <si>
    <t>参数04</t>
  </si>
  <si>
    <t>参数05</t>
  </si>
  <si>
    <t>参数06</t>
  </si>
  <si>
    <t>参数07</t>
  </si>
  <si>
    <t>参数08</t>
  </si>
  <si>
    <t>参数09</t>
  </si>
  <si>
    <t>参数10</t>
  </si>
  <si>
    <t>参数11</t>
  </si>
  <si>
    <t>参数12</t>
  </si>
  <si>
    <t>执行脚本</t>
  </si>
  <si>
    <t>参数意义（新增请复制行后再修改）</t>
  </si>
  <si>
    <t>替换路径（此函数必须存在）</t>
  </si>
  <si>
    <t>临时文件</t>
  </si>
  <si>
    <t>目的文件夹</t>
  </si>
  <si>
    <t>菜单文件夹名</t>
  </si>
  <si>
    <t>菜单名</t>
  </si>
  <si>
    <t>执行程序路径</t>
  </si>
  <si>
    <t>注册表菜单头部</t>
  </si>
  <si>
    <t>------ 老黄牛工具 ------</t>
  </si>
  <si>
    <t>注册表菜单vbs脚本</t>
  </si>
  <si>
    <t>1.表格网络上传文件22</t>
  </si>
  <si>
    <t>D:\老黄牛小工具\ExcelQuery\表格网络上传文件.vbs</t>
  </si>
  <si>
    <t>2.缩小至1920.vbs</t>
  </si>
  <si>
    <t>D:\老黄牛小工具\小工具\缩小图片nconvert\缩小至1920.vbs</t>
  </si>
  <si>
    <t>注册表菜单python脚本</t>
  </si>
  <si>
    <t>3.路径转环境变量</t>
  </si>
  <si>
    <t>D:\老黄牛小工具\小工具\路径转环境变量.py</t>
  </si>
  <si>
    <t>注册表菜单普通程序</t>
  </si>
  <si>
    <t>4.增强记事本</t>
  </si>
  <si>
    <t>D:\老黄牛小工具\小工具\notepad2\Notepad2.exe</t>
  </si>
  <si>
    <t>5.图片上传至sm.ms</t>
  </si>
  <si>
    <t>D:\老黄牛小工具\小工具\图床sm.ms.py</t>
  </si>
  <si>
    <t>注册表菜单打开目录</t>
  </si>
  <si>
    <t>6.脚本目录</t>
  </si>
  <si>
    <t>D:\老黄牛小工具\脚本文件</t>
  </si>
  <si>
    <t>7.webm转mp3</t>
  </si>
  <si>
    <t xml:space="preserve">D:\sharex\ShareX\Tools\ffmpeg.exe -i  \"%1\" -vn -ab 128k -ar 44100 -y  \"%1.mp3\" </t>
  </si>
  <si>
    <t>参数51</t>
  </si>
  <si>
    <t>数据表名</t>
  </si>
  <si>
    <t>参数52</t>
  </si>
  <si>
    <t>显示字段</t>
  </si>
  <si>
    <t>参数53</t>
  </si>
  <si>
    <t>查看密码</t>
  </si>
  <si>
    <t>参数54</t>
  </si>
  <si>
    <t>上传密码</t>
  </si>
  <si>
    <t>参数55</t>
  </si>
  <si>
    <t>用户名</t>
  </si>
  <si>
    <t>参数56</t>
  </si>
  <si>
    <t>用户密码</t>
  </si>
  <si>
    <t>参数57</t>
  </si>
  <si>
    <t>查询网址</t>
  </si>
  <si>
    <t>参数58</t>
  </si>
  <si>
    <t>参数59</t>
  </si>
  <si>
    <t>高校通的帐号密码，我只在浙江测试</t>
  </si>
  <si>
    <t>参数60</t>
  </si>
  <si>
    <t>高校通用户名</t>
  </si>
  <si>
    <t>参数61</t>
  </si>
  <si>
    <t>高校通密码</t>
  </si>
  <si>
    <t>参数62</t>
  </si>
  <si>
    <t>参数63</t>
  </si>
  <si>
    <t>邮箱必须支持smtp，我用163的邮箱</t>
  </si>
  <si>
    <t>参数64</t>
  </si>
  <si>
    <t>邮箱帐号</t>
  </si>
  <si>
    <t>参数65</t>
  </si>
  <si>
    <t>邮箱密码</t>
  </si>
  <si>
    <t>参数66</t>
  </si>
  <si>
    <t>GSM Modem</t>
  </si>
  <si>
    <t>参数67</t>
  </si>
  <si>
    <t>GSM的IP</t>
  </si>
  <si>
    <t>参数68</t>
  </si>
  <si>
    <t>帐号</t>
  </si>
  <si>
    <t>参数69</t>
  </si>
  <si>
    <t>密码</t>
  </si>
  <si>
    <t>参数70</t>
  </si>
  <si>
    <t>server酱密钥</t>
  </si>
  <si>
    <t>参数71</t>
  </si>
  <si>
    <t>参数72</t>
  </si>
  <si>
    <t>参数73</t>
  </si>
  <si>
    <t>参数74</t>
  </si>
  <si>
    <t>参数75</t>
  </si>
  <si>
    <t>参数76</t>
  </si>
  <si>
    <t>参数77</t>
  </si>
  <si>
    <t>参数78</t>
  </si>
  <si>
    <t>参数79</t>
  </si>
  <si>
    <t>参数80</t>
  </si>
  <si>
    <t>类型</t>
  </si>
  <si>
    <t>文件类型</t>
  </si>
  <si>
    <t>代码名</t>
  </si>
  <si>
    <t>核心代码</t>
  </si>
  <si>
    <t>说明1</t>
  </si>
  <si>
    <t>说明2</t>
  </si>
  <si>
    <t>说明3</t>
  </si>
  <si>
    <t>发消息</t>
  </si>
  <si>
    <t>vbs</t>
  </si>
  <si>
    <t>QQ复制消息到聊天窗</t>
  </si>
  <si>
    <t>rem  ---------参数01---------
CreateObject("Wscript.Shell")
set ws=wscript.createobject("wscript.shell")
ws.appactivate "QQ"
ws.run "tencent://message/?uin=参数04&amp;Site=LG&amp;Menu=yes"
'写入信息到剪切板
Msg = "参数11"
ws.Run "mshta vbscript:ClipboardData.SetData("&amp;chr(34)&amp;"text"&amp;chr(34)&amp;"," &amp;Chr(34)&amp; Msg &amp;Chr(34)&amp; ")(close)",0,True
ws.appactivate "QQ"
'粘贴文字
wscript.sleep 1500
ws.sendKeys "^v"
wscript.sleep 2000
Set ws= Nothing</t>
  </si>
  <si>
    <t>参数04:发送QQ号，参数11:要发送的消息</t>
  </si>
  <si>
    <t>QQ复制文件到聊天窗</t>
  </si>
  <si>
    <t xml:space="preserve">rem  ---------参数01的代码块---------
CreateObject("Wscript.Shell")
set ws2=wscript.createobject("wscript.shell")
ws2.appactivate "QQ"
url="tencent://message/?uin=参数04&amp;Site=LG&amp;Menu=yes"
set wss=createobject("Wscript.shell")
wss.run url
'粘贴文字
wscript.sleep 1500
wss.sendKeys "^v"
Set ws= Nothing
Set ws2= Nothing
Set wss= Nothing
</t>
  </si>
  <si>
    <t>参数04:发送QQ号</t>
  </si>
  <si>
    <t>QQ只激活聊天窗口</t>
  </si>
  <si>
    <t xml:space="preserve">rem  ---------参数01的代码块---------
CreateObject("Wscript.Shell")
url="tencent://message/?uin=参数04&amp;Site=LG&amp;Menu=yes"
set wss=createobject("Wscript.shell")
wss.run url
</t>
  </si>
  <si>
    <t>QQ发送消息</t>
  </si>
  <si>
    <t xml:space="preserve">rem  ---------参数01的代码块---------
CreateObject("Wscript.Shell")
set ws2=wscript.createobject("wscript.shell")
ws2.appactivate "QQ"
url="tencent://message/?uin=参数04&amp;Site=LG&amp;Menu=yes"
set wss=createobject("Wscript.shell")
wss.run url
'写入信息到剪切板
Msg = "参数11"
set ws=wscript.createobject("wscript.shell")
ws.Run "mshta vbscript:ClipboardData.SetData("&amp;chr(34)&amp;"text"&amp;chr(34)&amp;"," &amp;Chr(34)&amp; Msg &amp;Chr(34)&amp; ")(close)",0,True
'粘贴文字
wscript.sleep 1500
ws.sendKeys "^v"
wscript.sleep 1500
ws.sendkeys "{enter}"
wscript.sleep 3000
Set ws= Nothing
Set ws2= Nothing
Set wss= Nothing
</t>
  </si>
  <si>
    <t>QQ弹窗才发送消息</t>
  </si>
  <si>
    <t xml:space="preserve">rem  ---------参数01的代码块---------
CreateObject("Wscript.Shell")
set ws2=wscript.createobject("wscript.shell")
ws2.appactivate "QQ"
url="tencent://message/?uin=参数04&amp;Site=LG&amp;Menu=yes"
set wss=createobject("Wscript.shell")
wss.run url
'写入信息到剪切板
Msg = "参数11"
set ws=wscript.createobject("wscript.shell")
ws.Run "mshta vbscript:ClipboardData.SetData("&amp;chr(34)&amp;"text"&amp;chr(34)&amp;"," &amp;Chr(34)&amp; Msg &amp;Chr(34)&amp; ")(close)",0,True
'粘贴文字
wscript.sleep 1500
ws.sendKeys "^v"
'判断是否发送回车
x=msgbox("是否按回车发送此信息",VbOkCancel)
if x=VbOk then
ws.sendkeys "{enter}"
elseif x=Vbcancel then
set ws2 = createobject("wscript.shell")
ws2.run  "taskkill /IM wscript.exe /F"
end if
Set ws= Nothing
Set ws2= Nothing
Set wss= Nothing
</t>
  </si>
  <si>
    <t>微信发消息</t>
  </si>
  <si>
    <t>rem 正在执行 参数01
Name= "参数03"
Msg = "参数11"
set ws=wscript.createobject("wscript.shell")
ws.Run "mshta vbscript:ClipboardData.SetData("&amp;chr(34)&amp;"text"&amp;chr(34)&amp;"," &amp;Chr(34)&amp; Name&amp;Chr(34)&amp; ")(close)",0,True
wscript.sleep 999
ws.sendKeys "^f"
wscript.sleep 999
ws.sendKeys "^v"
wscript.sleep 999
ws.sendKeys "{ENTER}"
wscript.sleep 555
ws.sendKeys "{TAB}"
wscript.sleep 555
ws.Run "mshta vbscript:ClipboardData.SetData("&amp;chr(34)&amp;"text"&amp;chr(34)&amp;"," &amp;Chr(34)&amp; Msg &amp;Chr(34)&amp; ")(close)",0,True
wscript.sleep 500
ws.sendKeys "^v"
wscript.sleep 300
ws.sendKeys "{ENTER}"
Set ws= Nothing</t>
  </si>
  <si>
    <t>参数03:微信的名称，参数11:要发送的消息</t>
  </si>
  <si>
    <t>邮件</t>
  </si>
  <si>
    <t xml:space="preserve">rem ----------------参数01----------------------
If Send_Mail("参数64","参数65","参数05","","参数11","参数12","参数13")=True Then 
Wscript.Echo "参数01" &amp; "发送成功" 
Else 
Wscript.Echo "参数01" &amp; "发送失败" 
End If 
</t>
  </si>
  <si>
    <t>参数64:邮箱，参数65:密码，参数12:邮箱，参数13:内容，参数14:附件的地址</t>
  </si>
  <si>
    <t>GSM Modem发短信</t>
  </si>
  <si>
    <t>rem  ---------参数01---------
Set Sh = WScript.CreateObject("WScript.Shell")
Sh.Run "http://参数67:8090/SendSMS?username=参数68&amp;password=参数69&amp;phone=参数02&amp;message=参数11", 3 
WScript.Sleep 3
set Sh=nothing</t>
  </si>
  <si>
    <t>这个要先构建服务器才能发送。
参数67:服务器的地址，参数68:用户名，参数69:密码，参数02:手机号，参数11:要发送的消息，不能有空格和回车。</t>
  </si>
  <si>
    <t>QQ粘贴文件</t>
  </si>
  <si>
    <t xml:space="preserve">rem  ---------参数01的代码块---------
CreateObject("Wscript.Shell")
set ws2=wscript.createobject("wscript.shell")
ws2.appactivate "QQ"
url="tencent://message/?uin=参数04&amp;Site=LG&amp;Menu=yes"
set wss=createobject("Wscript.shell")
wss.run url
'粘贴文字
wscript.sleep 1500
wss.sendKeys "^v"
wscript.sleep 1500
wss.sendkeys "{enter}"
wscript.sleep 3000
Set ws= Nothing
Set ws2= Nothing
Set wss= Nothing
</t>
  </si>
  <si>
    <t>QQ发送指定文件</t>
  </si>
  <si>
    <t xml:space="preserve">rem  ---------参数01的代码块---------
CreateObject("Wscript.Shell")
set ws2=wscript.createobject("wscript.shell")
ws2.appactivate "QQ"
url="tencent://message/?uin=参数04&amp;Site=LG&amp;Menu=yes"
set wss=createobject("Wscript.shell")
wss.run "cmd.exe /c echo 参数15 | D:\老黄牛小工具\小工具\xclip.exe /copy",0
wss.run url
'粘贴文字
wscript.sleep 2500
wss.sendKeys "^v"
wscript.sleep 1500
wss.sendkeys "{enter}"
wscript.sleep 1500
Set ws2= Nothing
Set wss= Nothing
</t>
  </si>
  <si>
    <t>参数04:发送QQ号，参数15:文件的路径</t>
  </si>
  <si>
    <t>微信粘贴文件</t>
  </si>
  <si>
    <t>rem 正在执行 参数01
Name= "参数03"
Msg = "参数11"
set ws=wscript.createobject("wscript.shell")
ws.Run "mshta vbscript:ClipboardData.SetData("&amp;chr(34)&amp;"text"&amp;chr(34)&amp;"," &amp;Chr(34)&amp; Name&amp;Chr(34)&amp; ")(close)",0,True
wscript.sleep 500
ws.sendKeys "^f"
wscript.sleep 500
ws.sendKeys "^v"
wscript.sleep 500
ws.sendKeys "{ENTER}"
wscript.sleep 200
ws.sendKeys "{TAB}"
wscript.sleep 500
ws.sendKeys "^v"
wscript.sleep 300
ws.sendKeys "{ENTER}"
Set ws= Nothing</t>
  </si>
  <si>
    <t>参数03:微信的名称，这个要先复制文件</t>
  </si>
  <si>
    <t>QQ复制消息到聊天窗2</t>
  </si>
  <si>
    <t xml:space="preserve">rem  ---------参数01的代码块---------
CreateObject("Wscript.Shell")
set ws2=wscript.createobject("wscript.shell")
ws2.appactivate "QQ"
url="tencent://message/?uin=参数04&amp;Site=LG&amp;Menu=yes"
set wss=createobject("Wscript.shell")
wss.run url
'写入信息到剪切板
Msg = "参数11"
set ws=wscript.createobject("wscript.shell")
ws.Run "mshta vbscript:ClipboardData.SetData("&amp;chr(34)&amp;"text"&amp;chr(34)&amp;"," &amp;Chr(34)&amp; Msg &amp;Chr(34)&amp; ")(close)",0,True
'粘贴文字
wscript.sleep 1500
ws.sendKeys "^v"
Set ws= Nothing
Set ws2= Nothing
Set wss= Nothing
</t>
  </si>
  <si>
    <t xml:space="preserve">旺旺未测试 </t>
  </si>
  <si>
    <t>rem  ---------参数01---------
CreateObject("Wscript.Shell")
set ws=wscript.createobject("wscript.shell")
ws.run "https://amos.alicdn.com/getcid.aw?spm=a360q.8274423.0.0.71584c9a1M9Qng&amp;v=3&amp;groupid=0&amp;s=1&amp;charset=utf-8&amp;uid=参数1&amp;site=cnalichn&amp;fromid=cnalichn旺旺账号"
'写入信息到剪切板
Msg = "参数11"
ws.Run "mshta vbscript:ClipboardData.SetData("&amp;chr(34)&amp;"text"&amp;chr(34)&amp;"," &amp;Chr(34)&amp; Msg &amp;Chr(34)&amp; ")(close)",0,True
ws.appactivate "QQ"
'粘贴文字
wscript.sleep 1500
ws.sendKeys "^v"
wscript.sleep 2000
Set ws= Nothing</t>
  </si>
  <si>
    <t>旺旺</t>
  </si>
  <si>
    <t>系统</t>
  </si>
  <si>
    <t>bat</t>
  </si>
  <si>
    <t>复制文件</t>
  </si>
  <si>
    <t>mkdir "参数09"
copy "参数12" "参数09参数10" /y</t>
  </si>
  <si>
    <t>参数09:文件目录</t>
  </si>
  <si>
    <t>pause</t>
  </si>
  <si>
    <t>无参数 pause</t>
  </si>
  <si>
    <t>ping</t>
  </si>
  <si>
    <t>ping 参数11</t>
  </si>
  <si>
    <t>参数11:要ping的网址</t>
  </si>
  <si>
    <t>二维码</t>
  </si>
  <si>
    <t>Zint二维码(bat)</t>
  </si>
  <si>
    <t xml:space="preserve">rem 参数11
set nowpath=%~dp0
set notepad2path=%nowpath%辅助文件夹\notepad2\notepad2.exe
set zint=%nowpath%辅助文件夹\zint二维码生成\zint.exe
set genpath=%nowpath%生成文件夹
cd %genpath%
echo 参数11 &gt;temp.txt
%zint% -o %genpath%\参数12.png  -b 58 --scale 10 --binary -i temp.txt </t>
  </si>
  <si>
    <t>参数11:字符串</t>
  </si>
  <si>
    <t>Zint条形码</t>
  </si>
  <si>
    <t xml:space="preserve">rem 参数11
set nowpath=%~dp0
set notepad2path=%nowpath%辅助文件夹\notepad2\notepad2.exe
set zint=%nowpath%辅助文件夹\zint二维码生成\zint.exe
set genpath=%nowpath%生成文件夹
%zint% -o %genpath%\参数12.png --d "参数11" </t>
  </si>
  <si>
    <t>参数12:要生成的字符串</t>
  </si>
  <si>
    <t>Zint条形码128</t>
  </si>
  <si>
    <t xml:space="preserve">rem 参数11
set nowpath=%~dp0
set notepad2path=%nowpath%辅助文件夹\notepad2\notepad2.exe
set zint=%nowpath%辅助文件夹\zint二维码生成\zint.exe
set genpath=%nowpath%生成文件夹
%zint% -o %genpath%\参数12.png -b 20 -d "参数11" </t>
  </si>
  <si>
    <t>Zint DM二维码</t>
  </si>
  <si>
    <t xml:space="preserve">rem 参数11
set nowpath=%~dp0
set notepad2path=%nowpath%辅助文件夹\notepad2\notepad2.exe
set zint=%nowpath%辅助文件夹\zint二维码生成\zint.exe
set genpath=%nowpath%生成文件夹
%zint% -o %genpath%\参数12.png -b 71 -d "参数11" </t>
  </si>
  <si>
    <t>py</t>
  </si>
  <si>
    <t>DM二维码顶部引入文件</t>
  </si>
  <si>
    <t xml:space="preserve">#!/usr/bin/env python
# -*- coding: utf-8 -*-
# 必须先安装依赖环境
from PIL import Image
import requests,os
from io import BytesIO
from pylibdmtx.pylibdmtx import encode
</t>
  </si>
  <si>
    <t>无参数</t>
  </si>
  <si>
    <t>DM二维码生成代码</t>
  </si>
  <si>
    <t>encoded = encode('参数11')
img = Image.frombytes('RGB', (encoded.width, encoded.height), encoded.pixels)
img.save(os.getcwd()+"/生成文件夹/"+'参数12.png')</t>
  </si>
  <si>
    <t>普通二维码项部引入文件</t>
  </si>
  <si>
    <t xml:space="preserve"># -*- coding: utf-8 -*-
# @Author: BlueSand
# @Email: slxxfl000@163.com
# 必须先安装依赖环境
import qrcode
import os
</t>
  </si>
  <si>
    <t>二维码生成代码(必须ide运行)</t>
  </si>
  <si>
    <t>png = qrcode.make("参数11")
png.save(os.getcwd()+"/生成文件夹/"+'参数12.png')</t>
  </si>
  <si>
    <t>cmd暂停</t>
  </si>
  <si>
    <t>注册表</t>
  </si>
  <si>
    <t>reg</t>
  </si>
  <si>
    <t xml:space="preserve">Windows Registry Editor Version 5.00
[-HKEY_CLASSES_ROOT\*\shell\参数10]
[HKEY_CLASSES_ROOT\*\shell\参数10]
"SubCommands"=""
[HKEY_CLASSES_ROOT\*\shell\参数10\shell]
</t>
  </si>
  <si>
    <t>参数10:菜单文件夹名</t>
  </si>
  <si>
    <t xml:space="preserve">[HKEY_CLASSES_ROOT\*\shell\参数10\shell\参数11]
"MUIVerb"="参数11"
[HKEY_CLASSES_ROOT\*\shell\参数10\shell\参数11\command]
@="\"wscript.exe\" \"参数03\" %1"
</t>
  </si>
  <si>
    <t>参数10:菜单文件夹名，参数11:菜单名，参数12:程序路径</t>
  </si>
  <si>
    <t xml:space="preserve">[HKEY_CLASSES_ROOT\*\shell\参数10\shell\参数11]
"MUIVerb"="参数11"
[HKEY_CLASSES_ROOT\*\shell\参数10\shell\参数11\command]
@="参数03 %1"
</t>
  </si>
  <si>
    <t xml:space="preserve">[HKEY_CLASSES_ROOT\*\shell\参数10\shell\参数11]
"MUIVerb"="参数11"
[HKEY_CLASSES_ROOT\*\shell\参数10\shell\参数11\command]
@="cmd.exe  /C  python.exe \"参数03\" %1"
</t>
  </si>
  <si>
    <t xml:space="preserve">[HKEY_CLASSES_ROOT\*\shell\参数10\shell\参数11]
"MUIVerb"="参数11"
[HKEY_CLASSES_ROOT\*\shell\参数10\shell\参数11\command]
@="explorer.exe \"参数03\" "
</t>
  </si>
  <si>
    <t xml:space="preserve">[HKEY_CLASSES_ROOT\*\shell\参数10\shell\参数11]
"MUIVerb"="参数11"
[HKEY_CLASSES_ROOT\*\shell\参数10\shell\参数11\command]
@="参数12"
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</si>
</sst>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</numFmts>
  <fonts count="25">
    <font>
      <sz val="11"/>
      <color theme="1"/>
      <name val="宋体"/>
      <charset val="134"/>
      <scheme val="minor"/>
    </font>
    <font>
      <b/>
      <sz val="11"/>
      <color theme="3" tint="0.399609363078707"/>
      <name val="宋体"/>
      <charset val="134"/>
      <scheme val="minor"/>
    </font>
    <font>
      <b/>
      <sz val="11"/>
      <color theme="1"/>
      <name val="宋体"/>
      <charset val="134"/>
      <scheme val="minor"/>
    </font>
    <font>
      <u/>
      <sz val="11"/>
      <color theme="10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9"/>
      <color theme="1"/>
      <name val="宋体"/>
      <charset val="134"/>
      <scheme val="minor"/>
    </font>
    <font>
      <sz val="11"/>
      <name val="宋体"/>
      <charset val="134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829096346934"/>
        <bgColor indexed="64"/>
      </patternFill>
    </fill>
    <fill>
      <patternFill patternType="solid">
        <fgColor theme="4" tint="0.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13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53">
    <xf numFmtId="0" fontId="0" fillId="0" borderId="0"/>
    <xf numFmtId="42" fontId="0" fillId="0" borderId="0" applyFont="0" applyFill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21" fillId="26" borderId="1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3" fillId="0" borderId="0" applyNumberFormat="0" applyFill="0" applyBorder="0" applyAlignment="0" applyProtection="0"/>
    <xf numFmtId="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18" borderId="8" applyNumberFormat="0" applyFont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9" fillId="0" borderId="6" applyNumberFormat="0" applyFill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2" fillId="0" borderId="10" applyNumberFormat="0" applyFill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6" fillId="17" borderId="7" applyNumberFormat="0" applyAlignment="0" applyProtection="0">
      <alignment vertical="center"/>
    </xf>
    <xf numFmtId="0" fontId="22" fillId="17" borderId="11" applyNumberFormat="0" applyAlignment="0" applyProtection="0">
      <alignment vertical="center"/>
    </xf>
    <xf numFmtId="0" fontId="8" fillId="8" borderId="5" applyNumberFormat="0" applyAlignment="0" applyProtection="0">
      <alignment vertical="center"/>
    </xf>
    <xf numFmtId="0" fontId="7" fillId="36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23" fillId="0" borderId="12" applyNumberFormat="0" applyFill="0" applyAlignment="0" applyProtection="0">
      <alignment vertical="center"/>
    </xf>
    <xf numFmtId="0" fontId="18" fillId="0" borderId="9" applyNumberFormat="0" applyFill="0" applyAlignment="0" applyProtection="0">
      <alignment vertical="center"/>
    </xf>
    <xf numFmtId="0" fontId="24" fillId="35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0" fillId="0" borderId="0">
      <alignment vertical="center"/>
    </xf>
    <xf numFmtId="0" fontId="15" fillId="20" borderId="0" applyNumberFormat="0" applyBorder="0" applyAlignment="0" applyProtection="0">
      <alignment vertical="center"/>
    </xf>
    <xf numFmtId="0" fontId="7" fillId="33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0" fillId="0" borderId="0"/>
    <xf numFmtId="0" fontId="0" fillId="0" borderId="0">
      <alignment vertical="center"/>
    </xf>
    <xf numFmtId="0" fontId="3" fillId="0" borderId="0" applyNumberForma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wrapText="1"/>
    </xf>
    <xf numFmtId="0" fontId="0" fillId="0" borderId="1" xfId="0" applyNumberFormat="1" applyBorder="1" applyAlignment="1">
      <alignment horizontal="center" vertical="center" shrinkToFit="1"/>
    </xf>
    <xf numFmtId="0" fontId="0" fillId="2" borderId="2" xfId="0" applyNumberFormat="1" applyFont="1" applyFill="1" applyBorder="1" applyAlignment="1">
      <alignment horizontal="center" vertical="center" shrinkToFit="1"/>
    </xf>
    <xf numFmtId="0" fontId="1" fillId="0" borderId="0" xfId="0" applyNumberFormat="1" applyFont="1" applyFill="1" applyBorder="1" applyAlignment="1">
      <alignment horizontal="center" vertical="center" shrinkToFit="1"/>
    </xf>
    <xf numFmtId="0" fontId="0" fillId="0" borderId="3" xfId="0" applyNumberFormat="1" applyFont="1" applyBorder="1" applyAlignment="1">
      <alignment horizontal="center" vertical="center" shrinkToFit="1"/>
    </xf>
    <xf numFmtId="0" fontId="0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Border="1" applyAlignment="1">
      <alignment horizontal="center" vertical="center" shrinkToFit="1"/>
    </xf>
    <xf numFmtId="0" fontId="2" fillId="0" borderId="3" xfId="0" applyNumberFormat="1" applyFont="1" applyBorder="1" applyAlignment="1">
      <alignment horizontal="center" vertical="center" shrinkToFit="1"/>
    </xf>
    <xf numFmtId="0" fontId="0" fillId="0" borderId="4" xfId="0" applyNumberFormat="1" applyFont="1" applyBorder="1" applyAlignment="1">
      <alignment horizontal="center" vertical="center" shrinkToFit="1"/>
    </xf>
    <xf numFmtId="0" fontId="0" fillId="0" borderId="0" xfId="0" applyNumberFormat="1" applyFill="1" applyAlignment="1">
      <alignment horizontal="center" vertical="center" shrinkToFit="1"/>
    </xf>
    <xf numFmtId="0" fontId="3" fillId="0" borderId="4" xfId="10" applyNumberFormat="1" applyBorder="1" applyAlignment="1">
      <alignment vertical="center" shrinkToFit="1"/>
    </xf>
    <xf numFmtId="0" fontId="2" fillId="0" borderId="0" xfId="0" applyNumberFormat="1" applyFont="1" applyFill="1" applyBorder="1" applyAlignment="1">
      <alignment horizontal="left" vertical="center"/>
    </xf>
    <xf numFmtId="0" fontId="0" fillId="3" borderId="0" xfId="0" applyFill="1" applyBorder="1" applyAlignment="1">
      <alignment vertical="center"/>
    </xf>
    <xf numFmtId="0" fontId="0" fillId="3" borderId="0" xfId="0" applyFill="1"/>
    <xf numFmtId="0" fontId="3" fillId="3" borderId="0" xfId="10" applyFill="1"/>
    <xf numFmtId="0" fontId="0" fillId="0" borderId="0" xfId="0" applyFill="1" applyBorder="1" applyAlignment="1">
      <alignment vertical="center" shrinkToFit="1"/>
    </xf>
    <xf numFmtId="0" fontId="0" fillId="0" borderId="0" xfId="0" applyFill="1" applyBorder="1" applyAlignment="1">
      <alignment vertical="center" wrapText="1"/>
    </xf>
    <xf numFmtId="0" fontId="0" fillId="4" borderId="0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5" borderId="0" xfId="0" applyFill="1" applyBorder="1" applyAlignment="1">
      <alignment vertical="center" shrinkToFit="1"/>
    </xf>
    <xf numFmtId="0" fontId="0" fillId="5" borderId="0" xfId="0" applyFont="1" applyFill="1" applyAlignment="1">
      <alignment vertical="center" shrinkToFit="1"/>
    </xf>
    <xf numFmtId="0" fontId="0" fillId="5" borderId="0" xfId="0" applyFill="1" applyBorder="1" applyAlignment="1">
      <alignment vertical="center" wrapText="1" shrinkToFit="1"/>
    </xf>
    <xf numFmtId="0" fontId="4" fillId="3" borderId="0" xfId="0" applyFont="1" applyFill="1" applyBorder="1" applyAlignment="1">
      <alignment vertical="center" wrapText="1"/>
    </xf>
    <xf numFmtId="0" fontId="5" fillId="5" borderId="0" xfId="0" applyFont="1" applyFill="1" applyBorder="1" applyAlignment="1">
      <alignment vertical="center" shrinkToFit="1"/>
    </xf>
    <xf numFmtId="0" fontId="0" fillId="0" borderId="0" xfId="0" applyFill="1" applyBorder="1" applyAlignment="1">
      <alignment horizontal="left" vertical="center"/>
    </xf>
    <xf numFmtId="0" fontId="0" fillId="4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horizontal="center" vertical="center" shrinkToFit="1"/>
    </xf>
    <xf numFmtId="0" fontId="0" fillId="0" borderId="0" xfId="0" applyFill="1" applyBorder="1" applyAlignment="1">
      <alignment vertical="center" wrapText="1" shrinkToFit="1"/>
    </xf>
    <xf numFmtId="0" fontId="0" fillId="4" borderId="0" xfId="0" applyFont="1" applyFill="1" applyBorder="1" applyAlignment="1">
      <alignment vertical="center" shrinkToFit="1"/>
    </xf>
    <xf numFmtId="0" fontId="0" fillId="0" borderId="0" xfId="0" applyFont="1" applyFill="1" applyBorder="1" applyAlignment="1">
      <alignment vertical="center" shrinkToFit="1"/>
    </xf>
    <xf numFmtId="0" fontId="3" fillId="0" borderId="0" xfId="10" applyFill="1" applyBorder="1" applyAlignment="1">
      <alignment vertical="center" shrinkToFit="1"/>
    </xf>
    <xf numFmtId="14" fontId="0" fillId="0" borderId="0" xfId="0" applyNumberFormat="1" applyFill="1" applyBorder="1" applyAlignment="1">
      <alignment vertical="center" shrinkToFit="1"/>
    </xf>
    <xf numFmtId="0" fontId="0" fillId="0" borderId="0" xfId="0" quotePrefix="1"/>
  </cellXfs>
  <cellStyles count="53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常规 3 2" xfId="40"/>
    <cellStyle name="强调文字颜色 4" xfId="41" builtinId="41"/>
    <cellStyle name="20% - 强调文字颜色 4" xfId="42" builtinId="42"/>
    <cellStyle name="40% - 强调文字颜色 4" xfId="43" builtinId="43"/>
    <cellStyle name="强调文字颜色 5" xfId="44" builtinId="45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2" xfId="50"/>
    <cellStyle name="常规 3" xfId="51"/>
    <cellStyle name="超链接 2" xfId="52"/>
  </cellStyles>
  <dxfs count="6"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</dxfs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364490</xdr:colOff>
          <xdr:row>19</xdr:row>
          <xdr:rowOff>635</xdr:rowOff>
        </xdr:from>
        <xdr:to>
          <xdr:col>13</xdr:col>
          <xdr:colOff>632460</xdr:colOff>
          <xdr:row>19</xdr:row>
          <xdr:rowOff>391160</xdr:rowOff>
        </xdr:to>
        <xdr:sp macro="[0]!多脚本_批量替换并执行文件">
          <xdr:nvSpPr>
            <xdr:cNvPr id="34820" name="Button 4" hidden="1">
              <a:extLst>
                <a:ext uri="{63B3BB69-23CF-44E3-9099-C40C66FF867C}">
                  <a14:compatExt spid="_x0000_s34820"/>
                </a:ext>
              </a:extLst>
            </xdr:cNvPr>
            <xdr:cNvSpPr/>
          </xdr:nvSpPr>
          <xdr:spPr>
            <a:xfrm>
              <a:off x="10337800" y="635"/>
              <a:ext cx="1125220" cy="3905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>
                  <a:solidFill>
                    <a:srgbClr val="000000"/>
                  </a:solidFill>
                  <a:latin typeface="宋体" pitchFamily="7" charset="-122"/>
                  <a:ea typeface="宋体" pitchFamily="7" charset="-122"/>
                  <a:cs typeface="宋体" pitchFamily="7" charset="-122"/>
                  <a:sym typeface="宋体" pitchFamily="7" charset="-122"/>
                </a:rPr>
                <a:t>生成菜单并执行</a:t>
              </a:r>
              <a:endParaRPr lang="zh-CN" altLang="en-US" sz="1100">
                <a:solidFill>
                  <a:srgbClr val="000000"/>
                </a:solidFill>
                <a:latin typeface="宋体" pitchFamily="7" charset="-122"/>
                <a:ea typeface="宋体" pitchFamily="7" charset="-122"/>
                <a:cs typeface="宋体" pitchFamily="7" charset="-122"/>
                <a:sym typeface="宋体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1933575</xdr:colOff>
          <xdr:row>19</xdr:row>
          <xdr:rowOff>0</xdr:rowOff>
        </xdr:from>
        <xdr:to>
          <xdr:col>11</xdr:col>
          <xdr:colOff>3058795</xdr:colOff>
          <xdr:row>19</xdr:row>
          <xdr:rowOff>390525</xdr:rowOff>
        </xdr:to>
        <xdr:sp macro="[0]!多脚本_批量替换并打开文件">
          <xdr:nvSpPr>
            <xdr:cNvPr id="34821" name="Button 5" hidden="1">
              <a:extLst>
                <a:ext uri="{63B3BB69-23CF-44E3-9099-C40C66FF867C}">
                  <a14:compatExt spid="_x0000_s34821"/>
                </a:ext>
              </a:extLst>
            </xdr:cNvPr>
            <xdr:cNvSpPr/>
          </xdr:nvSpPr>
          <xdr:spPr>
            <a:xfrm>
              <a:off x="8279130" y="0"/>
              <a:ext cx="1125220" cy="3905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100">
                  <a:solidFill>
                    <a:srgbClr val="000000"/>
                  </a:solidFill>
                  <a:latin typeface="宋体" pitchFamily="7" charset="-122"/>
                  <a:ea typeface="宋体" pitchFamily="7" charset="-122"/>
                  <a:cs typeface="宋体" pitchFamily="7" charset="-122"/>
                  <a:sym typeface="宋体" pitchFamily="7" charset="-122"/>
                </a:rPr>
                <a:t>生成菜单</a:t>
              </a:r>
              <a:endParaRPr lang="zh-CN" altLang="en-US" sz="1100">
                <a:solidFill>
                  <a:srgbClr val="000000"/>
                </a:solidFill>
                <a:latin typeface="宋体" pitchFamily="7" charset="-122"/>
                <a:ea typeface="宋体" pitchFamily="7" charset="-122"/>
                <a:cs typeface="宋体" pitchFamily="7" charset="-122"/>
                <a:sym typeface="宋体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U145"/>
  <sheetViews>
    <sheetView tabSelected="1" zoomScale="115" zoomScaleNormal="115" topLeftCell="A20" workbookViewId="0">
      <selection activeCell="K28" sqref="K28"/>
    </sheetView>
  </sheetViews>
  <sheetFormatPr defaultColWidth="9" defaultRowHeight="13.5"/>
  <cols>
    <col min="1" max="1" width="15" style="19" customWidth="1"/>
    <col min="2" max="2" width="34.35" style="20" customWidth="1"/>
    <col min="3" max="3" width="25.8666666666667" style="20" hidden="1" customWidth="1"/>
    <col min="4" max="7" width="8.75" style="19" hidden="1" customWidth="1"/>
    <col min="8" max="9" width="8.75" style="16" hidden="1" customWidth="1"/>
    <col min="10" max="10" width="21.3" style="16" customWidth="1"/>
    <col min="11" max="11" width="12.625" style="16" customWidth="1"/>
    <col min="12" max="12" width="47.6083333333333" style="16" customWidth="1"/>
    <col min="13" max="13" width="11.25" style="16" customWidth="1"/>
    <col min="14" max="14" width="11.125" style="16" customWidth="1"/>
    <col min="15" max="15" width="8.625" style="16" customWidth="1"/>
    <col min="16" max="16" width="17.25" style="16" customWidth="1"/>
    <col min="17" max="17" width="14.75" style="16" customWidth="1"/>
    <col min="18" max="18" width="14.75" style="19" customWidth="1"/>
    <col min="19" max="16384" width="9" style="19"/>
  </cols>
  <sheetData>
    <row r="1" s="16" customFormat="1" ht="37.5" hidden="1" customHeight="1" spans="1:18">
      <c r="A1" s="13" t="s">
        <v>0</v>
      </c>
      <c r="B1" s="21" t="s">
        <v>1</v>
      </c>
      <c r="C1" s="20"/>
      <c r="D1" s="21"/>
      <c r="E1" s="21"/>
      <c r="F1" s="21"/>
      <c r="G1" s="21"/>
      <c r="H1" s="21"/>
      <c r="I1" s="21"/>
      <c r="J1" s="21"/>
      <c r="M1" s="16" t="s">
        <v>2</v>
      </c>
      <c r="R1" s="19"/>
    </row>
    <row r="2" s="17" customFormat="1" ht="30" hidden="1" customHeight="1" spans="1:17">
      <c r="A2" s="17" t="str">
        <f>IF(ISERROR(VLOOKUP(A3,常用代码!C:H,4,FALSE)&amp;""),"",VLOOKUP(A3,常用代码!C:H,4,FALSE)&amp;"")</f>
        <v>参数10:菜单文件夹名，参数11:菜单名，参数12:程序路径</v>
      </c>
      <c r="C2" s="22"/>
      <c r="L2" s="28"/>
      <c r="M2" s="28"/>
      <c r="N2" s="28"/>
      <c r="O2" s="28"/>
      <c r="P2" s="28"/>
      <c r="Q2" s="28"/>
    </row>
    <row r="3" ht="54.75" hidden="1" customHeight="1" spans="1:10">
      <c r="A3" s="23" t="s">
        <v>3</v>
      </c>
      <c r="B3" s="24" t="str">
        <f>IF(ISERROR(VLOOKUP(A3,常用代码!C:E,2,FALSE)),"",VLOOKUP(A3,常用代码!C:E,2,FALSE))</f>
        <v>[HKEY_CLASSES_ROOT\*\shell\参数10\shell\参数11]
"MUIVerb"="参数11"
[HKEY_CLASSES_ROOT\*\shell\参数10\shell\参数11\command]
@="参数12"
</v>
      </c>
      <c r="D3" s="24"/>
      <c r="E3" s="24"/>
      <c r="F3" s="24"/>
      <c r="G3" s="24"/>
      <c r="H3" s="24"/>
      <c r="I3" s="24"/>
      <c r="J3" s="24"/>
    </row>
    <row r="4" hidden="1"/>
    <row r="5" hidden="1"/>
    <row r="6" hidden="1"/>
    <row r="7" hidden="1"/>
    <row r="8" hidden="1"/>
    <row r="9" hidden="1"/>
    <row r="10" hidden="1"/>
    <row r="11" hidden="1"/>
    <row r="12" hidden="1"/>
    <row r="13" hidden="1"/>
    <row r="14" hidden="1"/>
    <row r="15" hidden="1"/>
    <row r="16" hidden="1"/>
    <row r="17" hidden="1"/>
    <row r="18" ht="38.45" hidden="1" customHeight="1" spans="1:21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</row>
    <row r="19" s="18" customFormat="1" ht="46" hidden="1" customHeight="1" spans="1:19">
      <c r="A19" s="26" t="s">
        <v>4</v>
      </c>
      <c r="B19" s="26" t="s">
        <v>5</v>
      </c>
      <c r="C19" s="26" t="s">
        <v>6</v>
      </c>
      <c r="D19" s="26" t="s">
        <v>7</v>
      </c>
      <c r="E19" s="26" t="s">
        <v>8</v>
      </c>
      <c r="F19" s="26" t="s">
        <v>9</v>
      </c>
      <c r="G19" s="26" t="s">
        <v>10</v>
      </c>
      <c r="H19" s="26" t="s">
        <v>11</v>
      </c>
      <c r="I19" s="26" t="s">
        <v>12</v>
      </c>
      <c r="J19" s="26" t="s">
        <v>13</v>
      </c>
      <c r="K19" s="26" t="s">
        <v>14</v>
      </c>
      <c r="L19" s="26" t="s">
        <v>15</v>
      </c>
      <c r="M19" s="29"/>
      <c r="N19" s="29"/>
      <c r="O19" s="29"/>
      <c r="P19" s="29"/>
      <c r="Q19" s="29"/>
      <c r="R19" s="29"/>
      <c r="S19" s="29"/>
    </row>
    <row r="20" s="18" customFormat="1" ht="46" customHeight="1" spans="1:19">
      <c r="A20" s="26" t="s">
        <v>16</v>
      </c>
      <c r="B20" s="26" t="s">
        <v>17</v>
      </c>
      <c r="C20" s="26" t="s">
        <v>18</v>
      </c>
      <c r="D20" s="26">
        <v>3</v>
      </c>
      <c r="E20" s="26">
        <v>4</v>
      </c>
      <c r="F20" s="26">
        <v>5</v>
      </c>
      <c r="G20" s="26">
        <v>6</v>
      </c>
      <c r="H20" s="26" t="s">
        <v>19</v>
      </c>
      <c r="I20" s="26" t="s">
        <v>20</v>
      </c>
      <c r="J20" s="26" t="s">
        <v>21</v>
      </c>
      <c r="K20" s="26" t="s">
        <v>22</v>
      </c>
      <c r="L20" s="26" t="s">
        <v>23</v>
      </c>
      <c r="M20" s="29"/>
      <c r="N20" s="29"/>
      <c r="O20" s="29"/>
      <c r="P20" s="29"/>
      <c r="Q20" s="29"/>
      <c r="R20" s="29"/>
      <c r="S20" s="29"/>
    </row>
    <row r="21" s="16" customFormat="1" spans="1:18">
      <c r="A21" s="27" t="s">
        <v>24</v>
      </c>
      <c r="B21" s="20" t="str">
        <f>VLOOKUP(A21,常用代码!C:F,4,FALSE)</f>
        <v>参数10:菜单文件夹名</v>
      </c>
      <c r="C21" s="20"/>
      <c r="D21" s="19"/>
      <c r="E21" s="19"/>
      <c r="F21" s="19"/>
      <c r="G21" s="19"/>
      <c r="I21" s="30"/>
      <c r="J21" s="16" t="s">
        <v>25</v>
      </c>
      <c r="K21" s="31"/>
      <c r="N21" s="32"/>
      <c r="R21" s="19"/>
    </row>
    <row r="22" s="16" customFormat="1" spans="1:18">
      <c r="A22" s="27" t="s">
        <v>26</v>
      </c>
      <c r="B22" s="20" t="str">
        <f>VLOOKUP(A22,常用代码!C:F,4,FALSE)</f>
        <v>参数10:菜单文件夹名，参数11:菜单名，参数12:程序路径</v>
      </c>
      <c r="C22" s="20" t="str">
        <f t="shared" ref="C22:C28" si="0">SUBSTITUTE(L22,"\","\\")</f>
        <v>D:\\老黄牛小工具\\ExcelQuery\\表格网络上传文件.vbs</v>
      </c>
      <c r="D22" s="19"/>
      <c r="E22" s="19"/>
      <c r="F22" s="19"/>
      <c r="G22" s="19"/>
      <c r="I22" s="30"/>
      <c r="J22" s="16" t="s">
        <v>25</v>
      </c>
      <c r="K22" s="16" t="s">
        <v>27</v>
      </c>
      <c r="L22" s="16" t="s">
        <v>28</v>
      </c>
      <c r="N22" s="32"/>
      <c r="R22" s="19"/>
    </row>
    <row r="23" s="16" customFormat="1" spans="1:18">
      <c r="A23" s="27" t="s">
        <v>26</v>
      </c>
      <c r="B23" s="20" t="str">
        <f>VLOOKUP(A23,常用代码!C:F,4,FALSE)</f>
        <v>参数10:菜单文件夹名，参数11:菜单名，参数12:程序路径</v>
      </c>
      <c r="C23" s="20" t="str">
        <f t="shared" si="0"/>
        <v>D:\\老黄牛小工具\\小工具\\缩小图片nconvert\\缩小至1920.vbs</v>
      </c>
      <c r="D23" s="19"/>
      <c r="E23" s="19"/>
      <c r="F23" s="19"/>
      <c r="G23" s="19"/>
      <c r="I23" s="30"/>
      <c r="J23" s="16" t="s">
        <v>25</v>
      </c>
      <c r="K23" s="16" t="s">
        <v>29</v>
      </c>
      <c r="L23" s="16" t="s">
        <v>30</v>
      </c>
      <c r="N23" s="32"/>
      <c r="R23" s="19"/>
    </row>
    <row r="24" s="16" customFormat="1" spans="1:18">
      <c r="A24" s="27" t="s">
        <v>31</v>
      </c>
      <c r="B24" s="20" t="str">
        <f>VLOOKUP(A24,常用代码!C:F,4,FALSE)</f>
        <v>参数10:菜单文件夹名，参数11:菜单名，参数12:程序路径</v>
      </c>
      <c r="C24" s="20" t="str">
        <f t="shared" si="0"/>
        <v>D:\\老黄牛小工具\\小工具\\路径转环境变量.py</v>
      </c>
      <c r="D24" s="19"/>
      <c r="E24" s="19"/>
      <c r="F24" s="19"/>
      <c r="G24" s="19"/>
      <c r="I24" s="30"/>
      <c r="J24" s="16" t="s">
        <v>25</v>
      </c>
      <c r="K24" s="16" t="s">
        <v>32</v>
      </c>
      <c r="L24" s="16" t="s">
        <v>33</v>
      </c>
      <c r="N24" s="32"/>
      <c r="R24" s="19"/>
    </row>
    <row r="25" s="16" customFormat="1" spans="1:18">
      <c r="A25" s="27" t="s">
        <v>34</v>
      </c>
      <c r="B25" s="20" t="str">
        <f>VLOOKUP(A25,常用代码!C:F,4,FALSE)</f>
        <v>参数10:菜单文件夹名，参数11:菜单名，参数12:程序路径</v>
      </c>
      <c r="C25" s="20" t="str">
        <f t="shared" si="0"/>
        <v>D:\\老黄牛小工具\\小工具\\notepad2\\Notepad2.exe</v>
      </c>
      <c r="D25" s="19"/>
      <c r="E25" s="19"/>
      <c r="F25" s="19"/>
      <c r="G25" s="19"/>
      <c r="I25" s="30"/>
      <c r="J25" s="16" t="s">
        <v>25</v>
      </c>
      <c r="K25" s="16" t="s">
        <v>35</v>
      </c>
      <c r="L25" s="16" t="s">
        <v>36</v>
      </c>
      <c r="N25" s="32"/>
      <c r="R25" s="19"/>
    </row>
    <row r="26" s="16" customFormat="1" spans="1:18">
      <c r="A26" s="27" t="s">
        <v>31</v>
      </c>
      <c r="B26" s="20" t="str">
        <f>VLOOKUP(A26,常用代码!C:F,4,FALSE)</f>
        <v>参数10:菜单文件夹名，参数11:菜单名，参数12:程序路径</v>
      </c>
      <c r="C26" s="20" t="str">
        <f t="shared" si="0"/>
        <v>D:\\老黄牛小工具\\小工具\\图床sm.ms.py</v>
      </c>
      <c r="D26" s="19"/>
      <c r="E26" s="19"/>
      <c r="F26" s="19"/>
      <c r="G26" s="19"/>
      <c r="I26" s="30"/>
      <c r="J26" s="16" t="s">
        <v>25</v>
      </c>
      <c r="K26" s="16" t="s">
        <v>37</v>
      </c>
      <c r="L26" s="16" t="s">
        <v>38</v>
      </c>
      <c r="N26" s="32"/>
      <c r="R26" s="19"/>
    </row>
    <row r="27" s="16" customFormat="1" spans="1:18">
      <c r="A27" s="27" t="s">
        <v>39</v>
      </c>
      <c r="B27" s="20" t="str">
        <f>VLOOKUP(A27,常用代码!C:F,4,FALSE)</f>
        <v>参数10:菜单文件夹名，参数11:菜单名，参数12:程序路径</v>
      </c>
      <c r="C27" s="20" t="str">
        <f t="shared" si="0"/>
        <v>D:\\老黄牛小工具\\脚本文件</v>
      </c>
      <c r="D27" s="19"/>
      <c r="E27" s="19"/>
      <c r="F27" s="19"/>
      <c r="G27" s="19"/>
      <c r="I27" s="30"/>
      <c r="J27" s="16" t="s">
        <v>25</v>
      </c>
      <c r="K27" s="16" t="s">
        <v>40</v>
      </c>
      <c r="L27" s="16" t="s">
        <v>41</v>
      </c>
      <c r="N27" s="32"/>
      <c r="R27" s="19"/>
    </row>
    <row r="28" s="16" customFormat="1" spans="1:18">
      <c r="A28" s="27" t="s">
        <v>3</v>
      </c>
      <c r="B28" s="20" t="str">
        <f>VLOOKUP(A28,常用代码!C:F,4,FALSE)</f>
        <v>参数10:菜单文件夹名，参数11:菜单名，参数12:程序路径</v>
      </c>
      <c r="C28" s="20" t="str">
        <f t="shared" si="0"/>
        <v>D:\\sharex\\ShareX\\Tools\\ffmpeg.exe -i  \\"%1\\" -vn -ab 128k -ar 44100 -y  \\"%1.mp3\\" </v>
      </c>
      <c r="D28" s="19"/>
      <c r="E28" s="19"/>
      <c r="F28" s="19"/>
      <c r="G28" s="19"/>
      <c r="I28" s="30"/>
      <c r="J28" s="16" t="s">
        <v>25</v>
      </c>
      <c r="K28" s="16" t="s">
        <v>42</v>
      </c>
      <c r="L28" s="16" t="s">
        <v>43</v>
      </c>
      <c r="N28" s="32"/>
      <c r="R28" s="19"/>
    </row>
    <row r="29" s="16" customFormat="1" spans="1:18">
      <c r="A29" s="27"/>
      <c r="B29" s="20"/>
      <c r="C29" s="20"/>
      <c r="D29" s="19"/>
      <c r="E29" s="19"/>
      <c r="F29" s="19"/>
      <c r="G29" s="19"/>
      <c r="I29" s="30"/>
      <c r="N29" s="32"/>
      <c r="R29" s="19"/>
    </row>
    <row r="30" s="16" customFormat="1" spans="1:18">
      <c r="A30" s="27"/>
      <c r="B30" s="20"/>
      <c r="C30" s="20"/>
      <c r="D30" s="19"/>
      <c r="E30" s="19"/>
      <c r="F30" s="19"/>
      <c r="G30" s="19"/>
      <c r="I30" s="30"/>
      <c r="N30" s="32"/>
      <c r="R30" s="19"/>
    </row>
    <row r="31" s="16" customFormat="1" spans="1:18">
      <c r="A31" s="27"/>
      <c r="B31" s="20"/>
      <c r="C31" s="20"/>
      <c r="D31" s="19"/>
      <c r="E31" s="19"/>
      <c r="F31" s="19"/>
      <c r="G31" s="19"/>
      <c r="I31" s="30"/>
      <c r="N31" s="32"/>
      <c r="R31" s="19"/>
    </row>
    <row r="32" s="16" customFormat="1" spans="1:18">
      <c r="A32" s="27"/>
      <c r="B32" s="20"/>
      <c r="C32" s="20"/>
      <c r="D32" s="19"/>
      <c r="E32" s="19"/>
      <c r="F32" s="19"/>
      <c r="G32" s="19"/>
      <c r="I32" s="30"/>
      <c r="N32" s="32"/>
      <c r="R32" s="19"/>
    </row>
    <row r="33" s="16" customFormat="1" spans="1:18">
      <c r="A33" s="27"/>
      <c r="B33" s="20"/>
      <c r="C33" s="20"/>
      <c r="D33" s="19"/>
      <c r="E33" s="19"/>
      <c r="F33" s="19"/>
      <c r="G33" s="19"/>
      <c r="I33" s="30"/>
      <c r="N33" s="32"/>
      <c r="R33" s="19"/>
    </row>
    <row r="34" s="16" customFormat="1" spans="1:18">
      <c r="A34" s="27"/>
      <c r="B34" s="20"/>
      <c r="C34" s="20"/>
      <c r="D34" s="19"/>
      <c r="E34" s="19"/>
      <c r="F34" s="19"/>
      <c r="G34" s="19"/>
      <c r="I34" s="30"/>
      <c r="N34" s="32"/>
      <c r="R34" s="19"/>
    </row>
    <row r="35" s="16" customFormat="1" spans="1:18">
      <c r="A35" s="27"/>
      <c r="B35" s="20"/>
      <c r="C35" s="20"/>
      <c r="D35" s="19"/>
      <c r="E35" s="19"/>
      <c r="F35" s="19"/>
      <c r="G35" s="19"/>
      <c r="I35" s="30"/>
      <c r="N35" s="32"/>
      <c r="R35" s="19"/>
    </row>
    <row r="36" s="16" customFormat="1" spans="1:18">
      <c r="A36" s="27"/>
      <c r="B36" s="20"/>
      <c r="C36" s="20"/>
      <c r="D36" s="19"/>
      <c r="E36" s="19"/>
      <c r="F36" s="19"/>
      <c r="G36" s="19"/>
      <c r="I36" s="30"/>
      <c r="N36" s="32"/>
      <c r="R36" s="19"/>
    </row>
    <row r="37" s="16" customFormat="1" spans="1:18">
      <c r="A37" s="27"/>
      <c r="B37" s="20"/>
      <c r="C37" s="20"/>
      <c r="D37" s="19"/>
      <c r="E37" s="19"/>
      <c r="F37" s="19"/>
      <c r="G37" s="19"/>
      <c r="I37" s="30"/>
      <c r="N37" s="32"/>
      <c r="R37" s="19"/>
    </row>
    <row r="38" s="16" customFormat="1" spans="1:18">
      <c r="A38" s="27"/>
      <c r="B38" s="20"/>
      <c r="C38" s="20"/>
      <c r="D38" s="19"/>
      <c r="E38" s="19"/>
      <c r="F38" s="19"/>
      <c r="G38" s="19"/>
      <c r="I38" s="30"/>
      <c r="N38" s="32"/>
      <c r="R38" s="19"/>
    </row>
    <row r="39" s="16" customFormat="1" spans="1:18">
      <c r="A39" s="27"/>
      <c r="B39" s="20"/>
      <c r="C39" s="20"/>
      <c r="D39" s="19"/>
      <c r="E39" s="19"/>
      <c r="F39" s="19"/>
      <c r="G39" s="19"/>
      <c r="I39" s="30"/>
      <c r="N39" s="32"/>
      <c r="R39" s="19"/>
    </row>
    <row r="40" s="16" customFormat="1" spans="1:18">
      <c r="A40" s="27"/>
      <c r="B40" s="20"/>
      <c r="C40" s="20"/>
      <c r="D40" s="19"/>
      <c r="E40" s="19"/>
      <c r="F40" s="19"/>
      <c r="G40" s="19"/>
      <c r="I40" s="30"/>
      <c r="N40" s="32"/>
      <c r="R40" s="19"/>
    </row>
    <row r="41" s="16" customFormat="1" spans="1:18">
      <c r="A41" s="27"/>
      <c r="B41" s="20"/>
      <c r="C41" s="20"/>
      <c r="D41" s="19"/>
      <c r="E41" s="19"/>
      <c r="F41" s="19"/>
      <c r="G41" s="19"/>
      <c r="I41" s="30"/>
      <c r="N41" s="32"/>
      <c r="R41" s="19"/>
    </row>
    <row r="42" s="16" customFormat="1" spans="1:18">
      <c r="A42" s="27"/>
      <c r="B42" s="20"/>
      <c r="C42" s="20"/>
      <c r="D42" s="19"/>
      <c r="E42" s="19"/>
      <c r="F42" s="19"/>
      <c r="G42" s="19"/>
      <c r="N42" s="32"/>
      <c r="R42" s="19"/>
    </row>
    <row r="43" s="16" customFormat="1" spans="1:18">
      <c r="A43" s="27"/>
      <c r="B43" s="20"/>
      <c r="C43" s="20"/>
      <c r="D43" s="19"/>
      <c r="E43" s="19"/>
      <c r="F43" s="19"/>
      <c r="G43" s="19"/>
      <c r="N43" s="32"/>
      <c r="R43" s="19"/>
    </row>
    <row r="44" s="16" customFormat="1" spans="1:18">
      <c r="A44" s="27"/>
      <c r="B44" s="20"/>
      <c r="C44" s="20"/>
      <c r="D44" s="19"/>
      <c r="E44" s="19"/>
      <c r="F44" s="19"/>
      <c r="G44" s="19"/>
      <c r="N44" s="32"/>
      <c r="R44" s="19"/>
    </row>
    <row r="45" s="16" customFormat="1" spans="1:18">
      <c r="A45" s="27"/>
      <c r="B45" s="20"/>
      <c r="C45" s="20"/>
      <c r="D45" s="19"/>
      <c r="E45" s="19"/>
      <c r="F45" s="19"/>
      <c r="G45" s="19"/>
      <c r="N45" s="32"/>
      <c r="R45" s="19"/>
    </row>
    <row r="46" s="16" customFormat="1" spans="1:18">
      <c r="A46" s="27"/>
      <c r="B46" s="20"/>
      <c r="C46" s="20"/>
      <c r="D46" s="19"/>
      <c r="E46" s="19"/>
      <c r="F46" s="19"/>
      <c r="G46" s="19"/>
      <c r="N46" s="32"/>
      <c r="R46" s="19"/>
    </row>
    <row r="47" s="16" customFormat="1" spans="1:18">
      <c r="A47" s="27"/>
      <c r="B47" s="20"/>
      <c r="C47" s="20"/>
      <c r="D47" s="19"/>
      <c r="E47" s="19"/>
      <c r="F47" s="19"/>
      <c r="G47" s="19"/>
      <c r="N47" s="32"/>
      <c r="R47" s="19"/>
    </row>
    <row r="48" s="16" customFormat="1" spans="1:18">
      <c r="A48" s="27"/>
      <c r="B48" s="20"/>
      <c r="C48" s="20"/>
      <c r="D48" s="19"/>
      <c r="E48" s="19"/>
      <c r="F48" s="19"/>
      <c r="G48" s="19"/>
      <c r="N48" s="32"/>
      <c r="R48" s="19"/>
    </row>
    <row r="49" s="16" customFormat="1" spans="1:18">
      <c r="A49" s="27"/>
      <c r="B49" s="20"/>
      <c r="C49" s="20"/>
      <c r="D49" s="19"/>
      <c r="E49" s="19"/>
      <c r="F49" s="19"/>
      <c r="G49" s="19"/>
      <c r="N49" s="32"/>
      <c r="R49" s="19"/>
    </row>
    <row r="50" s="16" customFormat="1" spans="1:18">
      <c r="A50" s="27"/>
      <c r="B50" s="20"/>
      <c r="C50" s="20"/>
      <c r="D50" s="19"/>
      <c r="E50" s="19"/>
      <c r="F50" s="19"/>
      <c r="G50" s="19"/>
      <c r="N50" s="32"/>
      <c r="R50" s="19"/>
    </row>
    <row r="51" s="16" customFormat="1" spans="1:18">
      <c r="A51" s="27"/>
      <c r="B51" s="20"/>
      <c r="C51" s="20"/>
      <c r="D51" s="19"/>
      <c r="E51" s="19"/>
      <c r="F51" s="19"/>
      <c r="G51" s="19"/>
      <c r="N51" s="32"/>
      <c r="R51" s="19"/>
    </row>
    <row r="52" s="16" customFormat="1" spans="1:18">
      <c r="A52" s="27"/>
      <c r="B52" s="20"/>
      <c r="C52" s="20"/>
      <c r="D52" s="19"/>
      <c r="E52" s="19"/>
      <c r="F52" s="19"/>
      <c r="G52" s="19"/>
      <c r="N52" s="32"/>
      <c r="R52" s="19"/>
    </row>
    <row r="53" s="16" customFormat="1" spans="1:18">
      <c r="A53" s="27"/>
      <c r="B53" s="20"/>
      <c r="C53" s="20"/>
      <c r="D53" s="19"/>
      <c r="E53" s="19"/>
      <c r="F53" s="19"/>
      <c r="G53" s="19"/>
      <c r="N53" s="32"/>
      <c r="R53" s="19"/>
    </row>
    <row r="54" s="16" customFormat="1" spans="1:18">
      <c r="A54" s="27"/>
      <c r="B54" s="20"/>
      <c r="C54" s="20"/>
      <c r="D54" s="19"/>
      <c r="E54" s="19"/>
      <c r="F54" s="19"/>
      <c r="G54" s="19"/>
      <c r="N54" s="32"/>
      <c r="R54" s="19"/>
    </row>
    <row r="55" s="16" customFormat="1" spans="1:18">
      <c r="A55" s="27"/>
      <c r="B55" s="20"/>
      <c r="C55" s="20"/>
      <c r="D55" s="19"/>
      <c r="E55" s="19"/>
      <c r="F55" s="19"/>
      <c r="G55" s="19"/>
      <c r="N55" s="32"/>
      <c r="R55" s="19"/>
    </row>
    <row r="56" s="16" customFormat="1" spans="1:18">
      <c r="A56" s="27"/>
      <c r="B56" s="20"/>
      <c r="C56" s="20"/>
      <c r="D56" s="19"/>
      <c r="E56" s="19"/>
      <c r="F56" s="19"/>
      <c r="G56" s="19"/>
      <c r="N56" s="32"/>
      <c r="R56" s="19"/>
    </row>
    <row r="57" s="16" customFormat="1" spans="1:18">
      <c r="A57" s="27"/>
      <c r="B57" s="20"/>
      <c r="C57" s="20"/>
      <c r="D57" s="19"/>
      <c r="E57" s="19"/>
      <c r="F57" s="19"/>
      <c r="G57" s="19"/>
      <c r="N57" s="32"/>
      <c r="R57" s="19"/>
    </row>
    <row r="58" s="16" customFormat="1" spans="1:18">
      <c r="A58" s="27"/>
      <c r="B58" s="20"/>
      <c r="C58" s="20"/>
      <c r="D58" s="19"/>
      <c r="E58" s="19"/>
      <c r="F58" s="19"/>
      <c r="G58" s="19"/>
      <c r="N58" s="32"/>
      <c r="R58" s="19"/>
    </row>
    <row r="59" s="16" customFormat="1" spans="1:18">
      <c r="A59" s="27"/>
      <c r="B59" s="20"/>
      <c r="C59" s="20"/>
      <c r="D59" s="19"/>
      <c r="E59" s="19"/>
      <c r="F59" s="19"/>
      <c r="G59" s="19"/>
      <c r="N59" s="32"/>
      <c r="R59" s="19"/>
    </row>
    <row r="60" s="16" customFormat="1" spans="1:18">
      <c r="A60" s="27"/>
      <c r="B60" s="20"/>
      <c r="C60" s="20"/>
      <c r="D60" s="19"/>
      <c r="E60" s="19"/>
      <c r="F60" s="19"/>
      <c r="G60" s="19"/>
      <c r="N60" s="32"/>
      <c r="R60" s="19"/>
    </row>
    <row r="61" s="16" customFormat="1" spans="1:18">
      <c r="A61" s="27"/>
      <c r="B61" s="20"/>
      <c r="C61" s="20"/>
      <c r="D61" s="19"/>
      <c r="E61" s="19"/>
      <c r="F61" s="19"/>
      <c r="G61" s="19"/>
      <c r="N61" s="32"/>
      <c r="R61" s="19"/>
    </row>
    <row r="62" s="16" customFormat="1" spans="1:18">
      <c r="A62" s="27"/>
      <c r="B62" s="20"/>
      <c r="C62" s="20"/>
      <c r="D62" s="19"/>
      <c r="E62" s="19"/>
      <c r="F62" s="19"/>
      <c r="G62" s="19"/>
      <c r="N62" s="32"/>
      <c r="R62" s="19"/>
    </row>
    <row r="63" s="16" customFormat="1" spans="1:18">
      <c r="A63" s="27"/>
      <c r="B63" s="20"/>
      <c r="C63" s="20"/>
      <c r="D63" s="19"/>
      <c r="E63" s="19"/>
      <c r="F63" s="19"/>
      <c r="G63" s="19"/>
      <c r="N63" s="32"/>
      <c r="R63" s="19"/>
    </row>
    <row r="64" s="16" customFormat="1" spans="1:18">
      <c r="A64" s="27"/>
      <c r="B64" s="20"/>
      <c r="C64" s="20"/>
      <c r="D64" s="19"/>
      <c r="E64" s="19"/>
      <c r="F64" s="19"/>
      <c r="G64" s="19"/>
      <c r="N64" s="32"/>
      <c r="R64" s="19"/>
    </row>
    <row r="65" s="16" customFormat="1" spans="1:18">
      <c r="A65" s="27"/>
      <c r="B65" s="20"/>
      <c r="C65" s="20"/>
      <c r="D65" s="19"/>
      <c r="E65" s="19"/>
      <c r="F65" s="19"/>
      <c r="G65" s="19"/>
      <c r="N65" s="32"/>
      <c r="R65" s="19"/>
    </row>
    <row r="66" s="16" customFormat="1" spans="1:18">
      <c r="A66" s="27"/>
      <c r="B66" s="20"/>
      <c r="C66" s="20"/>
      <c r="D66" s="19"/>
      <c r="E66" s="19"/>
      <c r="F66" s="19"/>
      <c r="G66" s="19"/>
      <c r="N66" s="32"/>
      <c r="R66" s="19"/>
    </row>
    <row r="67" s="16" customFormat="1" spans="1:18">
      <c r="A67" s="27"/>
      <c r="B67" s="20"/>
      <c r="C67" s="20"/>
      <c r="D67" s="19"/>
      <c r="E67" s="19"/>
      <c r="F67" s="19"/>
      <c r="G67" s="19"/>
      <c r="N67" s="32"/>
      <c r="R67" s="19"/>
    </row>
    <row r="68" s="16" customFormat="1" spans="1:18">
      <c r="A68" s="27"/>
      <c r="B68" s="20"/>
      <c r="C68" s="20"/>
      <c r="D68" s="19"/>
      <c r="E68" s="19"/>
      <c r="F68" s="19"/>
      <c r="G68" s="19"/>
      <c r="N68" s="32"/>
      <c r="R68" s="19"/>
    </row>
    <row r="69" s="16" customFormat="1" spans="1:18">
      <c r="A69" s="27"/>
      <c r="B69" s="20"/>
      <c r="C69" s="20"/>
      <c r="D69" s="19"/>
      <c r="E69" s="19"/>
      <c r="F69" s="19"/>
      <c r="G69" s="19"/>
      <c r="N69" s="32"/>
      <c r="R69" s="19"/>
    </row>
    <row r="70" s="16" customFormat="1" spans="1:18">
      <c r="A70" s="27"/>
      <c r="B70" s="20"/>
      <c r="C70" s="20"/>
      <c r="D70" s="19"/>
      <c r="E70" s="19"/>
      <c r="F70" s="19"/>
      <c r="G70" s="19"/>
      <c r="N70" s="32"/>
      <c r="R70" s="19"/>
    </row>
    <row r="71" s="16" customFormat="1" spans="1:18">
      <c r="A71" s="27"/>
      <c r="B71" s="20"/>
      <c r="C71" s="20"/>
      <c r="D71" s="19"/>
      <c r="E71" s="19"/>
      <c r="F71" s="19"/>
      <c r="G71" s="19"/>
      <c r="N71" s="32"/>
      <c r="R71" s="19"/>
    </row>
    <row r="72" s="16" customFormat="1" spans="1:18">
      <c r="A72" s="27"/>
      <c r="B72" s="20"/>
      <c r="C72" s="20"/>
      <c r="D72" s="19"/>
      <c r="E72" s="19"/>
      <c r="F72" s="19"/>
      <c r="G72" s="19"/>
      <c r="N72" s="32"/>
      <c r="R72" s="19"/>
    </row>
    <row r="73" s="16" customFormat="1" spans="1:18">
      <c r="A73" s="27"/>
      <c r="B73" s="20"/>
      <c r="C73" s="20"/>
      <c r="D73" s="19"/>
      <c r="E73" s="19"/>
      <c r="F73" s="19"/>
      <c r="G73" s="19"/>
      <c r="N73" s="32"/>
      <c r="R73" s="19"/>
    </row>
    <row r="74" s="16" customFormat="1" spans="1:18">
      <c r="A74" s="27"/>
      <c r="B74" s="20"/>
      <c r="C74" s="20"/>
      <c r="D74" s="19"/>
      <c r="E74" s="19"/>
      <c r="F74" s="19"/>
      <c r="G74" s="19"/>
      <c r="N74" s="32"/>
      <c r="R74" s="19"/>
    </row>
    <row r="75" s="16" customFormat="1" spans="1:18">
      <c r="A75" s="27"/>
      <c r="B75" s="20"/>
      <c r="C75" s="20"/>
      <c r="D75" s="19"/>
      <c r="E75" s="19"/>
      <c r="F75" s="19"/>
      <c r="G75" s="19"/>
      <c r="N75" s="32"/>
      <c r="R75" s="19"/>
    </row>
    <row r="76" s="16" customFormat="1" spans="1:18">
      <c r="A76" s="27"/>
      <c r="B76" s="20"/>
      <c r="C76" s="20"/>
      <c r="D76" s="19"/>
      <c r="E76" s="19"/>
      <c r="F76" s="19"/>
      <c r="G76" s="19"/>
      <c r="N76" s="32"/>
      <c r="R76" s="19"/>
    </row>
    <row r="77" s="16" customFormat="1" spans="1:18">
      <c r="A77" s="27"/>
      <c r="B77" s="20"/>
      <c r="C77" s="20"/>
      <c r="D77" s="19"/>
      <c r="E77" s="19"/>
      <c r="F77" s="19"/>
      <c r="G77" s="19"/>
      <c r="N77" s="32"/>
      <c r="R77" s="19"/>
    </row>
    <row r="78" s="16" customFormat="1" spans="1:18">
      <c r="A78" s="27"/>
      <c r="B78" s="20"/>
      <c r="C78" s="20"/>
      <c r="D78" s="19"/>
      <c r="E78" s="19"/>
      <c r="F78" s="19"/>
      <c r="G78" s="19"/>
      <c r="N78" s="32"/>
      <c r="R78" s="19"/>
    </row>
    <row r="79" s="16" customFormat="1" spans="1:18">
      <c r="A79" s="27"/>
      <c r="B79" s="20"/>
      <c r="C79" s="20"/>
      <c r="D79" s="19"/>
      <c r="E79" s="19"/>
      <c r="F79" s="19"/>
      <c r="G79" s="19"/>
      <c r="N79" s="32"/>
      <c r="R79" s="19"/>
    </row>
    <row r="80" s="16" customFormat="1" spans="1:18">
      <c r="A80" s="27"/>
      <c r="B80" s="20"/>
      <c r="C80" s="20"/>
      <c r="D80" s="19"/>
      <c r="E80" s="19"/>
      <c r="F80" s="19"/>
      <c r="G80" s="19"/>
      <c r="N80" s="32"/>
      <c r="R80" s="19"/>
    </row>
    <row r="81" s="16" customFormat="1" spans="1:18">
      <c r="A81" s="27"/>
      <c r="B81" s="20"/>
      <c r="C81" s="20"/>
      <c r="D81" s="19"/>
      <c r="E81" s="19"/>
      <c r="F81" s="19"/>
      <c r="G81" s="19"/>
      <c r="N81" s="32"/>
      <c r="R81" s="19"/>
    </row>
    <row r="82" s="16" customFormat="1" spans="1:18">
      <c r="A82" s="27"/>
      <c r="B82" s="20"/>
      <c r="C82" s="20"/>
      <c r="D82" s="19"/>
      <c r="E82" s="19"/>
      <c r="F82" s="19"/>
      <c r="G82" s="19"/>
      <c r="N82" s="32"/>
      <c r="R82" s="19"/>
    </row>
    <row r="83" s="16" customFormat="1" spans="1:18">
      <c r="A83" s="27"/>
      <c r="B83" s="20"/>
      <c r="C83" s="20"/>
      <c r="D83" s="19"/>
      <c r="E83" s="19"/>
      <c r="F83" s="19"/>
      <c r="G83" s="19"/>
      <c r="N83" s="32"/>
      <c r="R83" s="19"/>
    </row>
    <row r="84" s="16" customFormat="1" spans="1:18">
      <c r="A84" s="27"/>
      <c r="B84" s="20"/>
      <c r="C84" s="20"/>
      <c r="D84" s="19"/>
      <c r="E84" s="19"/>
      <c r="F84" s="19"/>
      <c r="G84" s="19"/>
      <c r="N84" s="32"/>
      <c r="R84" s="19"/>
    </row>
    <row r="85" s="16" customFormat="1" spans="1:18">
      <c r="A85" s="27"/>
      <c r="B85" s="20"/>
      <c r="C85" s="20"/>
      <c r="D85" s="19"/>
      <c r="E85" s="19"/>
      <c r="F85" s="19"/>
      <c r="G85" s="19"/>
      <c r="N85" s="32"/>
      <c r="R85" s="19"/>
    </row>
    <row r="86" s="16" customFormat="1" spans="1:18">
      <c r="A86" s="27"/>
      <c r="B86" s="20"/>
      <c r="C86" s="20"/>
      <c r="D86" s="19"/>
      <c r="E86" s="19"/>
      <c r="F86" s="19"/>
      <c r="G86" s="19"/>
      <c r="N86" s="32"/>
      <c r="R86" s="19"/>
    </row>
    <row r="87" s="16" customFormat="1" spans="1:18">
      <c r="A87" s="27"/>
      <c r="B87" s="20"/>
      <c r="C87" s="20"/>
      <c r="D87" s="19"/>
      <c r="E87" s="19"/>
      <c r="F87" s="19"/>
      <c r="G87" s="19"/>
      <c r="N87" s="32"/>
      <c r="R87" s="19"/>
    </row>
    <row r="88" s="16" customFormat="1" spans="1:18">
      <c r="A88" s="27"/>
      <c r="B88" s="20"/>
      <c r="C88" s="20"/>
      <c r="D88" s="19"/>
      <c r="E88" s="19"/>
      <c r="F88" s="19"/>
      <c r="G88" s="19"/>
      <c r="N88" s="32"/>
      <c r="R88" s="19"/>
    </row>
    <row r="89" s="16" customFormat="1" spans="1:18">
      <c r="A89" s="27"/>
      <c r="B89" s="20"/>
      <c r="C89" s="20"/>
      <c r="D89" s="19"/>
      <c r="E89" s="19"/>
      <c r="F89" s="19"/>
      <c r="G89" s="19"/>
      <c r="N89" s="32"/>
      <c r="R89" s="19"/>
    </row>
    <row r="90" s="16" customFormat="1" spans="1:18">
      <c r="A90" s="27"/>
      <c r="B90" s="20"/>
      <c r="C90" s="20"/>
      <c r="D90" s="19"/>
      <c r="E90" s="19"/>
      <c r="F90" s="19"/>
      <c r="G90" s="19"/>
      <c r="N90" s="32"/>
      <c r="R90" s="19"/>
    </row>
    <row r="91" s="16" customFormat="1" spans="1:18">
      <c r="A91" s="27"/>
      <c r="B91" s="20"/>
      <c r="C91" s="20"/>
      <c r="D91" s="19"/>
      <c r="E91" s="19"/>
      <c r="F91" s="19"/>
      <c r="G91" s="19"/>
      <c r="N91" s="32"/>
      <c r="R91" s="19"/>
    </row>
    <row r="92" s="16" customFormat="1" spans="1:18">
      <c r="A92" s="27"/>
      <c r="B92" s="20"/>
      <c r="C92" s="20"/>
      <c r="D92" s="19"/>
      <c r="E92" s="19"/>
      <c r="F92" s="19"/>
      <c r="G92" s="19"/>
      <c r="N92" s="32"/>
      <c r="R92" s="19"/>
    </row>
    <row r="93" s="16" customFormat="1" spans="1:18">
      <c r="A93" s="27"/>
      <c r="B93" s="20"/>
      <c r="C93" s="20"/>
      <c r="D93" s="19"/>
      <c r="E93" s="19"/>
      <c r="F93" s="19"/>
      <c r="G93" s="19"/>
      <c r="N93" s="32"/>
      <c r="R93" s="19"/>
    </row>
    <row r="94" s="16" customFormat="1" spans="1:18">
      <c r="A94" s="27"/>
      <c r="B94" s="20"/>
      <c r="C94" s="20"/>
      <c r="D94" s="19"/>
      <c r="E94" s="19"/>
      <c r="F94" s="19"/>
      <c r="G94" s="19"/>
      <c r="N94" s="32"/>
      <c r="R94" s="19"/>
    </row>
    <row r="95" s="16" customFormat="1" spans="1:18">
      <c r="A95" s="27"/>
      <c r="B95" s="20"/>
      <c r="C95" s="20"/>
      <c r="D95" s="19"/>
      <c r="E95" s="19"/>
      <c r="F95" s="19"/>
      <c r="G95" s="19"/>
      <c r="N95" s="32"/>
      <c r="R95" s="19"/>
    </row>
    <row r="96" s="16" customFormat="1" spans="1:18">
      <c r="A96" s="27"/>
      <c r="B96" s="20"/>
      <c r="C96" s="20"/>
      <c r="D96" s="19"/>
      <c r="E96" s="19"/>
      <c r="F96" s="19"/>
      <c r="G96" s="19"/>
      <c r="N96" s="32"/>
      <c r="R96" s="19"/>
    </row>
    <row r="97" s="16" customFormat="1" spans="1:18">
      <c r="A97" s="27"/>
      <c r="B97" s="20"/>
      <c r="C97" s="20"/>
      <c r="D97" s="19"/>
      <c r="E97" s="19"/>
      <c r="F97" s="19"/>
      <c r="G97" s="19"/>
      <c r="N97" s="32"/>
      <c r="R97" s="19"/>
    </row>
    <row r="98" s="16" customFormat="1" spans="1:18">
      <c r="A98" s="27"/>
      <c r="B98" s="20"/>
      <c r="C98" s="20"/>
      <c r="D98" s="19"/>
      <c r="E98" s="19"/>
      <c r="F98" s="19"/>
      <c r="G98" s="19"/>
      <c r="N98" s="32"/>
      <c r="R98" s="19"/>
    </row>
    <row r="99" s="16" customFormat="1" spans="1:18">
      <c r="A99" s="27"/>
      <c r="B99" s="20"/>
      <c r="C99" s="20"/>
      <c r="D99" s="19"/>
      <c r="E99" s="19"/>
      <c r="F99" s="19"/>
      <c r="G99" s="19"/>
      <c r="N99" s="32"/>
      <c r="R99" s="19"/>
    </row>
    <row r="100" s="16" customFormat="1" spans="1:18">
      <c r="A100" s="27"/>
      <c r="B100" s="20"/>
      <c r="C100" s="20"/>
      <c r="D100" s="19"/>
      <c r="E100" s="19"/>
      <c r="F100" s="19"/>
      <c r="G100" s="19"/>
      <c r="N100" s="32"/>
      <c r="R100" s="19"/>
    </row>
    <row r="101" s="16" customFormat="1" spans="1:18">
      <c r="A101" s="27"/>
      <c r="B101" s="20"/>
      <c r="C101" s="20"/>
      <c r="D101" s="19"/>
      <c r="E101" s="19"/>
      <c r="F101" s="19"/>
      <c r="G101" s="19"/>
      <c r="N101" s="32"/>
      <c r="R101" s="19"/>
    </row>
    <row r="102" s="16" customFormat="1" spans="1:18">
      <c r="A102" s="27"/>
      <c r="B102" s="20"/>
      <c r="C102" s="20"/>
      <c r="D102" s="19"/>
      <c r="E102" s="19"/>
      <c r="F102" s="19"/>
      <c r="G102" s="19"/>
      <c r="N102" s="32"/>
      <c r="R102" s="19"/>
    </row>
    <row r="103" s="16" customFormat="1" spans="1:18">
      <c r="A103" s="27"/>
      <c r="B103" s="20"/>
      <c r="C103" s="20"/>
      <c r="D103" s="19"/>
      <c r="E103" s="19"/>
      <c r="F103" s="19"/>
      <c r="G103" s="19"/>
      <c r="N103" s="32"/>
      <c r="R103" s="19"/>
    </row>
    <row r="104" s="16" customFormat="1" spans="1:18">
      <c r="A104" s="27"/>
      <c r="B104" s="20"/>
      <c r="C104" s="20"/>
      <c r="D104" s="19"/>
      <c r="E104" s="19"/>
      <c r="F104" s="19"/>
      <c r="G104" s="19"/>
      <c r="N104" s="32"/>
      <c r="R104" s="19"/>
    </row>
    <row r="105" s="16" customFormat="1" spans="1:18">
      <c r="A105" s="27"/>
      <c r="B105" s="20"/>
      <c r="C105" s="20"/>
      <c r="D105" s="19"/>
      <c r="E105" s="19"/>
      <c r="F105" s="19"/>
      <c r="G105" s="19"/>
      <c r="N105" s="32"/>
      <c r="R105" s="19"/>
    </row>
    <row r="106" s="16" customFormat="1" spans="1:18">
      <c r="A106" s="27"/>
      <c r="B106" s="20"/>
      <c r="C106" s="20"/>
      <c r="D106" s="19"/>
      <c r="E106" s="19"/>
      <c r="F106" s="19"/>
      <c r="G106" s="19"/>
      <c r="N106" s="32"/>
      <c r="R106" s="19"/>
    </row>
    <row r="107" s="16" customFormat="1" spans="1:18">
      <c r="A107" s="27"/>
      <c r="B107" s="20"/>
      <c r="C107" s="20"/>
      <c r="D107" s="19"/>
      <c r="E107" s="19"/>
      <c r="F107" s="19"/>
      <c r="G107" s="19"/>
      <c r="N107" s="32"/>
      <c r="R107" s="19"/>
    </row>
    <row r="108" s="16" customFormat="1" spans="1:18">
      <c r="A108" s="27"/>
      <c r="B108" s="20"/>
      <c r="C108" s="20"/>
      <c r="D108" s="19"/>
      <c r="E108" s="19"/>
      <c r="F108" s="19"/>
      <c r="G108" s="19"/>
      <c r="N108" s="32"/>
      <c r="R108" s="19"/>
    </row>
    <row r="109" s="16" customFormat="1" spans="1:18">
      <c r="A109" s="27"/>
      <c r="B109" s="20"/>
      <c r="C109" s="20"/>
      <c r="D109" s="19"/>
      <c r="E109" s="19"/>
      <c r="F109" s="19"/>
      <c r="G109" s="19"/>
      <c r="N109" s="32"/>
      <c r="R109" s="19"/>
    </row>
    <row r="110" s="16" customFormat="1" spans="1:18">
      <c r="A110" s="27"/>
      <c r="B110" s="20"/>
      <c r="C110" s="20"/>
      <c r="D110" s="19"/>
      <c r="E110" s="19"/>
      <c r="F110" s="19"/>
      <c r="G110" s="19"/>
      <c r="N110" s="32"/>
      <c r="R110" s="19"/>
    </row>
    <row r="111" s="16" customFormat="1" spans="1:18">
      <c r="A111" s="27"/>
      <c r="B111" s="20"/>
      <c r="C111" s="20"/>
      <c r="D111" s="19"/>
      <c r="E111" s="19"/>
      <c r="F111" s="19"/>
      <c r="G111" s="19"/>
      <c r="N111" s="32"/>
      <c r="R111" s="19"/>
    </row>
    <row r="112" s="16" customFormat="1" spans="1:18">
      <c r="A112" s="27"/>
      <c r="B112" s="20"/>
      <c r="C112" s="20"/>
      <c r="D112" s="19"/>
      <c r="E112" s="19"/>
      <c r="F112" s="19"/>
      <c r="G112" s="19"/>
      <c r="N112" s="32"/>
      <c r="R112" s="19"/>
    </row>
    <row r="113" s="16" customFormat="1" spans="1:18">
      <c r="A113" s="27"/>
      <c r="B113" s="20"/>
      <c r="C113" s="20"/>
      <c r="D113" s="19"/>
      <c r="E113" s="19"/>
      <c r="F113" s="19"/>
      <c r="G113" s="19"/>
      <c r="N113" s="32"/>
      <c r="R113" s="19"/>
    </row>
    <row r="114" s="16" customFormat="1" spans="1:18">
      <c r="A114" s="27"/>
      <c r="B114" s="20"/>
      <c r="C114" s="20"/>
      <c r="D114" s="19"/>
      <c r="E114" s="19"/>
      <c r="F114" s="19"/>
      <c r="G114" s="19"/>
      <c r="N114" s="32"/>
      <c r="R114" s="19"/>
    </row>
    <row r="115" s="16" customFormat="1" spans="1:18">
      <c r="A115" s="19"/>
      <c r="B115" s="20"/>
      <c r="C115" s="20"/>
      <c r="D115" s="19"/>
      <c r="E115" s="19"/>
      <c r="F115" s="19"/>
      <c r="G115" s="19"/>
      <c r="N115" s="32"/>
      <c r="R115" s="19"/>
    </row>
    <row r="116" s="16" customFormat="1" spans="1:18">
      <c r="A116" s="19"/>
      <c r="B116" s="20"/>
      <c r="C116" s="20"/>
      <c r="D116" s="19"/>
      <c r="E116" s="19"/>
      <c r="F116" s="19"/>
      <c r="G116" s="19"/>
      <c r="N116" s="32"/>
      <c r="R116" s="19"/>
    </row>
    <row r="117" s="16" customFormat="1" spans="1:18">
      <c r="A117" s="19"/>
      <c r="B117" s="20"/>
      <c r="C117" s="20"/>
      <c r="D117" s="19"/>
      <c r="E117" s="19"/>
      <c r="F117" s="19"/>
      <c r="G117" s="19"/>
      <c r="N117" s="32"/>
      <c r="R117" s="19"/>
    </row>
    <row r="118" s="16" customFormat="1" spans="1:18">
      <c r="A118" s="19"/>
      <c r="B118" s="20"/>
      <c r="C118" s="20"/>
      <c r="D118" s="19"/>
      <c r="E118" s="19"/>
      <c r="F118" s="19"/>
      <c r="G118" s="19"/>
      <c r="N118" s="32"/>
      <c r="R118" s="19"/>
    </row>
    <row r="119" s="16" customFormat="1" spans="1:18">
      <c r="A119" s="19"/>
      <c r="B119" s="20"/>
      <c r="C119" s="20"/>
      <c r="D119" s="19"/>
      <c r="E119" s="19"/>
      <c r="F119" s="19"/>
      <c r="G119" s="19"/>
      <c r="N119" s="32"/>
      <c r="R119" s="19"/>
    </row>
    <row r="120" s="16" customFormat="1" spans="1:18">
      <c r="A120" s="19"/>
      <c r="B120" s="20"/>
      <c r="C120" s="20"/>
      <c r="D120" s="19"/>
      <c r="E120" s="19"/>
      <c r="F120" s="19"/>
      <c r="G120" s="19"/>
      <c r="N120" s="32"/>
      <c r="R120" s="19"/>
    </row>
    <row r="121" s="16" customFormat="1" spans="1:18">
      <c r="A121" s="19"/>
      <c r="B121" s="20"/>
      <c r="C121" s="20"/>
      <c r="D121" s="19"/>
      <c r="E121" s="19"/>
      <c r="F121" s="19"/>
      <c r="G121" s="19"/>
      <c r="N121" s="32"/>
      <c r="R121" s="19"/>
    </row>
    <row r="122" s="16" customFormat="1" spans="1:18">
      <c r="A122" s="19"/>
      <c r="B122" s="20"/>
      <c r="C122" s="20"/>
      <c r="D122" s="19"/>
      <c r="E122" s="19"/>
      <c r="F122" s="19"/>
      <c r="G122" s="19"/>
      <c r="N122" s="32"/>
      <c r="R122" s="19"/>
    </row>
    <row r="123" s="16" customFormat="1" spans="1:18">
      <c r="A123" s="19"/>
      <c r="B123" s="20"/>
      <c r="C123" s="20"/>
      <c r="D123" s="19"/>
      <c r="E123" s="19"/>
      <c r="F123" s="19"/>
      <c r="G123" s="19"/>
      <c r="N123" s="32"/>
      <c r="R123" s="19"/>
    </row>
    <row r="124" s="16" customFormat="1" spans="1:18">
      <c r="A124" s="19"/>
      <c r="B124" s="20"/>
      <c r="C124" s="20"/>
      <c r="D124" s="19"/>
      <c r="E124" s="19"/>
      <c r="F124" s="19"/>
      <c r="G124" s="19"/>
      <c r="N124" s="32"/>
      <c r="R124" s="19"/>
    </row>
    <row r="125" s="16" customFormat="1" spans="1:18">
      <c r="A125" s="19"/>
      <c r="B125" s="20"/>
      <c r="C125" s="20"/>
      <c r="D125" s="19"/>
      <c r="E125" s="19"/>
      <c r="F125" s="19"/>
      <c r="G125" s="19"/>
      <c r="N125" s="32"/>
      <c r="R125" s="19"/>
    </row>
    <row r="126" s="16" customFormat="1" spans="1:18">
      <c r="A126" s="19"/>
      <c r="B126" s="20"/>
      <c r="C126" s="20"/>
      <c r="D126" s="19"/>
      <c r="E126" s="19"/>
      <c r="F126" s="19"/>
      <c r="G126" s="19"/>
      <c r="N126" s="32"/>
      <c r="R126" s="19"/>
    </row>
    <row r="127" s="16" customFormat="1" spans="1:18">
      <c r="A127" s="19"/>
      <c r="B127" s="20"/>
      <c r="C127" s="20"/>
      <c r="D127" s="19"/>
      <c r="E127" s="19"/>
      <c r="F127" s="19"/>
      <c r="G127" s="19"/>
      <c r="N127" s="32"/>
      <c r="R127" s="19"/>
    </row>
    <row r="128" s="16" customFormat="1" spans="1:18">
      <c r="A128" s="19"/>
      <c r="B128" s="20"/>
      <c r="C128" s="20"/>
      <c r="D128" s="19"/>
      <c r="E128" s="19"/>
      <c r="F128" s="19"/>
      <c r="G128" s="19"/>
      <c r="N128" s="32"/>
      <c r="R128" s="19"/>
    </row>
    <row r="129" s="16" customFormat="1" spans="1:18">
      <c r="A129" s="19"/>
      <c r="B129" s="20"/>
      <c r="C129" s="20"/>
      <c r="D129" s="19"/>
      <c r="E129" s="19"/>
      <c r="F129" s="19"/>
      <c r="G129" s="19"/>
      <c r="N129" s="32"/>
      <c r="R129" s="19"/>
    </row>
    <row r="130" s="16" customFormat="1" spans="1:18">
      <c r="A130" s="19"/>
      <c r="B130" s="20"/>
      <c r="C130" s="20"/>
      <c r="D130" s="19"/>
      <c r="E130" s="19"/>
      <c r="F130" s="19"/>
      <c r="G130" s="19"/>
      <c r="N130" s="32"/>
      <c r="R130" s="19"/>
    </row>
    <row r="131" s="16" customFormat="1" spans="1:18">
      <c r="A131" s="19"/>
      <c r="B131" s="20"/>
      <c r="C131" s="20"/>
      <c r="D131" s="19"/>
      <c r="E131" s="19"/>
      <c r="F131" s="19"/>
      <c r="G131" s="19"/>
      <c r="N131" s="32"/>
      <c r="R131" s="19"/>
    </row>
    <row r="132" s="16" customFormat="1" spans="1:18">
      <c r="A132" s="19"/>
      <c r="B132" s="20"/>
      <c r="C132" s="20"/>
      <c r="D132" s="19"/>
      <c r="E132" s="19"/>
      <c r="F132" s="19"/>
      <c r="G132" s="19"/>
      <c r="N132" s="32"/>
      <c r="R132" s="19"/>
    </row>
    <row r="133" s="16" customFormat="1" spans="1:18">
      <c r="A133" s="19"/>
      <c r="B133" s="20"/>
      <c r="C133" s="20"/>
      <c r="D133" s="19"/>
      <c r="E133" s="19"/>
      <c r="F133" s="19"/>
      <c r="G133" s="19"/>
      <c r="N133" s="32"/>
      <c r="R133" s="19"/>
    </row>
    <row r="134" s="16" customFormat="1" spans="1:18">
      <c r="A134" s="19"/>
      <c r="B134" s="20"/>
      <c r="C134" s="20"/>
      <c r="D134" s="19"/>
      <c r="E134" s="19"/>
      <c r="F134" s="19"/>
      <c r="G134" s="19"/>
      <c r="N134" s="32"/>
      <c r="R134" s="19"/>
    </row>
    <row r="135" s="16" customFormat="1" spans="1:18">
      <c r="A135" s="19"/>
      <c r="B135" s="20"/>
      <c r="C135" s="20"/>
      <c r="D135" s="19"/>
      <c r="E135" s="19"/>
      <c r="F135" s="19"/>
      <c r="G135" s="19"/>
      <c r="N135" s="32"/>
      <c r="R135" s="19"/>
    </row>
    <row r="136" s="16" customFormat="1" spans="1:18">
      <c r="A136" s="19"/>
      <c r="B136" s="20"/>
      <c r="C136" s="20"/>
      <c r="D136" s="19"/>
      <c r="E136" s="19"/>
      <c r="F136" s="19"/>
      <c r="G136" s="19"/>
      <c r="N136" s="32"/>
      <c r="R136" s="19"/>
    </row>
    <row r="137" s="16" customFormat="1" spans="1:18">
      <c r="A137" s="19"/>
      <c r="B137" s="20"/>
      <c r="C137" s="20"/>
      <c r="D137" s="19"/>
      <c r="E137" s="19"/>
      <c r="F137" s="19"/>
      <c r="G137" s="19"/>
      <c r="N137" s="32"/>
      <c r="R137" s="19"/>
    </row>
    <row r="138" s="16" customFormat="1" spans="1:18">
      <c r="A138" s="19"/>
      <c r="B138" s="20"/>
      <c r="C138" s="20"/>
      <c r="D138" s="19"/>
      <c r="E138" s="19"/>
      <c r="F138" s="19"/>
      <c r="G138" s="19"/>
      <c r="N138" s="32"/>
      <c r="R138" s="19"/>
    </row>
    <row r="139" s="16" customFormat="1" spans="1:18">
      <c r="A139" s="19"/>
      <c r="B139" s="20"/>
      <c r="C139" s="20"/>
      <c r="D139" s="19"/>
      <c r="E139" s="19"/>
      <c r="F139" s="19"/>
      <c r="G139" s="19"/>
      <c r="N139" s="32"/>
      <c r="R139" s="19"/>
    </row>
    <row r="140" s="16" customFormat="1" spans="1:18">
      <c r="A140" s="19"/>
      <c r="B140" s="20"/>
      <c r="C140" s="20"/>
      <c r="D140" s="19"/>
      <c r="E140" s="19"/>
      <c r="F140" s="19"/>
      <c r="G140" s="19"/>
      <c r="N140" s="32"/>
      <c r="R140" s="19"/>
    </row>
    <row r="141" s="16" customFormat="1" spans="1:18">
      <c r="A141" s="19"/>
      <c r="B141" s="20"/>
      <c r="C141" s="20"/>
      <c r="D141" s="19"/>
      <c r="E141" s="19"/>
      <c r="F141" s="19"/>
      <c r="G141" s="19"/>
      <c r="N141" s="32"/>
      <c r="R141" s="19"/>
    </row>
    <row r="142" s="16" customFormat="1" spans="1:18">
      <c r="A142" s="19"/>
      <c r="B142" s="20"/>
      <c r="C142" s="20"/>
      <c r="D142" s="19"/>
      <c r="E142" s="19"/>
      <c r="F142" s="19"/>
      <c r="G142" s="19"/>
      <c r="N142" s="32"/>
      <c r="R142" s="19"/>
    </row>
    <row r="143" s="16" customFormat="1" spans="1:18">
      <c r="A143" s="19"/>
      <c r="B143" s="20"/>
      <c r="C143" s="20"/>
      <c r="D143" s="19"/>
      <c r="E143" s="19"/>
      <c r="F143" s="19"/>
      <c r="G143" s="19"/>
      <c r="N143" s="32"/>
      <c r="R143" s="19"/>
    </row>
    <row r="144" s="16" customFormat="1" spans="1:18">
      <c r="A144" s="19"/>
      <c r="B144" s="20"/>
      <c r="C144" s="20"/>
      <c r="D144" s="19"/>
      <c r="E144" s="19"/>
      <c r="F144" s="19"/>
      <c r="G144" s="19"/>
      <c r="N144" s="32"/>
      <c r="R144" s="19"/>
    </row>
    <row r="145" s="16" customFormat="1" spans="1:18">
      <c r="A145" s="19"/>
      <c r="B145" s="20"/>
      <c r="C145" s="20"/>
      <c r="D145" s="19"/>
      <c r="E145" s="19"/>
      <c r="F145" s="19"/>
      <c r="G145" s="19"/>
      <c r="N145" s="32"/>
      <c r="R145" s="19"/>
    </row>
  </sheetData>
  <dataValidations count="2">
    <dataValidation type="list" allowBlank="1" showInputMessage="1" showErrorMessage="1" sqref="A3 A82:A114">
      <formula1>'D:\老黄牛小工具\0.安装过程\[1]常用代码'!#REF!</formula1>
    </dataValidation>
    <dataValidation type="list" allowBlank="1" showInputMessage="1" showErrorMessage="1" sqref="A21 A22 A23 A24 A25 A26 A27 A28 A29:A81">
      <formula1>常用代码!$C:$C</formula1>
    </dataValidation>
  </dataValidations>
  <pageMargins left="0.75" right="0.75" top="1" bottom="1" header="0.5" footer="0.5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20" name="Button 4" r:id="rId3">
              <controlPr print="0" defaultSize="0">
                <anchor>
                  <from>
                    <xdr:col>12</xdr:col>
                    <xdr:colOff>364490</xdr:colOff>
                    <xdr:row>19</xdr:row>
                    <xdr:rowOff>635</xdr:rowOff>
                  </from>
                  <to>
                    <xdr:col>13</xdr:col>
                    <xdr:colOff>632460</xdr:colOff>
                    <xdr:row>19</xdr:row>
                    <xdr:rowOff>391160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name="Button 5" r:id="rId4">
              <controlPr print="0" defaultSize="0">
                <anchor>
                  <from>
                    <xdr:col>11</xdr:col>
                    <xdr:colOff>1933575</xdr:colOff>
                    <xdr:row>19</xdr:row>
                    <xdr:rowOff>0</xdr:rowOff>
                  </from>
                  <to>
                    <xdr:col>11</xdr:col>
                    <xdr:colOff>3058795</xdr:colOff>
                    <xdr:row>19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>
    <tabColor rgb="FFFF0000"/>
  </sheetPr>
  <dimension ref="A1:D30"/>
  <sheetViews>
    <sheetView workbookViewId="0">
      <selection activeCell="C1" sqref="C1:C23"/>
    </sheetView>
  </sheetViews>
  <sheetFormatPr defaultColWidth="9" defaultRowHeight="13.5" outlineLevelCol="3"/>
  <cols>
    <col min="1" max="1" width="9.375" customWidth="1"/>
    <col min="2" max="2" width="15.125" customWidth="1"/>
    <col min="3" max="3" width="17.125" customWidth="1"/>
    <col min="6" max="6" width="20.125" customWidth="1"/>
  </cols>
  <sheetData>
    <row r="1" spans="1:4">
      <c r="A1" t="s">
        <v>44</v>
      </c>
      <c r="B1" s="2" t="s">
        <v>45</v>
      </c>
      <c r="C1" s="3"/>
      <c r="D1" s="4"/>
    </row>
    <row r="2" ht="14.25" spans="1:4">
      <c r="A2" t="s">
        <v>46</v>
      </c>
      <c r="B2" s="5" t="s">
        <v>47</v>
      </c>
      <c r="C2" s="6"/>
      <c r="D2" s="7"/>
    </row>
    <row r="3" ht="14.25" spans="1:4">
      <c r="A3" t="s">
        <v>48</v>
      </c>
      <c r="B3" s="8" t="s">
        <v>49</v>
      </c>
      <c r="C3" s="3"/>
      <c r="D3" s="6"/>
    </row>
    <row r="4" spans="1:4">
      <c r="A4" t="s">
        <v>50</v>
      </c>
      <c r="B4" s="8" t="s">
        <v>51</v>
      </c>
      <c r="C4" s="3"/>
      <c r="D4" s="6"/>
    </row>
    <row r="5" spans="1:4">
      <c r="A5" t="s">
        <v>52</v>
      </c>
      <c r="B5" s="8" t="s">
        <v>53</v>
      </c>
      <c r="C5" s="9"/>
      <c r="D5" s="10"/>
    </row>
    <row r="6" spans="1:3">
      <c r="A6" t="s">
        <v>54</v>
      </c>
      <c r="B6" s="8" t="s">
        <v>55</v>
      </c>
      <c r="C6" s="9"/>
    </row>
    <row r="7" spans="1:3">
      <c r="A7" t="s">
        <v>56</v>
      </c>
      <c r="B7" s="8" t="s">
        <v>57</v>
      </c>
      <c r="C7" s="11"/>
    </row>
    <row r="8" spans="1:1">
      <c r="A8" t="s">
        <v>58</v>
      </c>
    </row>
    <row r="9" spans="1:2">
      <c r="A9" t="s">
        <v>59</v>
      </c>
      <c r="B9" s="12" t="s">
        <v>60</v>
      </c>
    </row>
    <row r="10" spans="1:3">
      <c r="A10" t="s">
        <v>61</v>
      </c>
      <c r="B10" s="13" t="s">
        <v>62</v>
      </c>
      <c r="C10" s="13"/>
    </row>
    <row r="11" spans="1:3">
      <c r="A11" t="s">
        <v>63</v>
      </c>
      <c r="B11" s="13" t="s">
        <v>64</v>
      </c>
      <c r="C11" s="13"/>
    </row>
    <row r="12" spans="1:1">
      <c r="A12" t="s">
        <v>65</v>
      </c>
    </row>
    <row r="13" spans="1:2">
      <c r="A13" t="s">
        <v>66</v>
      </c>
      <c r="B13" s="12" t="s">
        <v>67</v>
      </c>
    </row>
    <row r="14" spans="1:3">
      <c r="A14" t="s">
        <v>68</v>
      </c>
      <c r="B14" s="14" t="s">
        <v>69</v>
      </c>
      <c r="C14" s="15"/>
    </row>
    <row r="15" spans="1:3">
      <c r="A15" t="s">
        <v>70</v>
      </c>
      <c r="B15" s="14" t="s">
        <v>71</v>
      </c>
      <c r="C15" s="14"/>
    </row>
    <row r="16" spans="1:2">
      <c r="A16" t="s">
        <v>72</v>
      </c>
      <c r="B16" t="s">
        <v>73</v>
      </c>
    </row>
    <row r="17" spans="1:3">
      <c r="A17" t="s">
        <v>74</v>
      </c>
      <c r="B17" s="14" t="s">
        <v>75</v>
      </c>
      <c r="C17" s="14"/>
    </row>
    <row r="18" spans="1:3">
      <c r="A18" t="s">
        <v>76</v>
      </c>
      <c r="B18" s="14" t="s">
        <v>77</v>
      </c>
      <c r="C18" s="14"/>
    </row>
    <row r="19" spans="1:3">
      <c r="A19" t="s">
        <v>78</v>
      </c>
      <c r="B19" s="14" t="s">
        <v>79</v>
      </c>
      <c r="C19" s="14"/>
    </row>
    <row r="20" spans="1:2">
      <c r="A20" t="s">
        <v>80</v>
      </c>
      <c r="B20" t="s">
        <v>81</v>
      </c>
    </row>
    <row r="21" spans="1:1">
      <c r="A21" t="s">
        <v>82</v>
      </c>
    </row>
    <row r="22" spans="1:1">
      <c r="A22" t="s">
        <v>83</v>
      </c>
    </row>
    <row r="23" spans="1:1">
      <c r="A23" t="s">
        <v>84</v>
      </c>
    </row>
    <row r="24" spans="1:1">
      <c r="A24" t="s">
        <v>85</v>
      </c>
    </row>
    <row r="25" spans="1:1">
      <c r="A25" t="s">
        <v>86</v>
      </c>
    </row>
    <row r="26" spans="1:1">
      <c r="A26" t="s">
        <v>87</v>
      </c>
    </row>
    <row r="27" spans="1:1">
      <c r="A27" t="s">
        <v>88</v>
      </c>
    </row>
    <row r="28" spans="1:1">
      <c r="A28" t="s">
        <v>89</v>
      </c>
    </row>
    <row r="29" spans="1:1">
      <c r="A29" t="s">
        <v>90</v>
      </c>
    </row>
    <row r="30" spans="1:1">
      <c r="A30" t="s">
        <v>91</v>
      </c>
    </row>
  </sheetData>
  <conditionalFormatting sqref="B1">
    <cfRule type="cellIs" dxfId="0" priority="1" stopIfTrue="1" operator="between">
      <formula>NOT(ISERROR(SEARCH(" ",B1)))</formula>
      <formula>"="</formula>
    </cfRule>
    <cfRule type="cellIs" dxfId="1" priority="2" stopIfTrue="1" operator="between">
      <formula>NOT(ISERROR(SEARCH(" ",B1)))</formula>
      <formula>"="</formula>
    </cfRule>
    <cfRule type="cellIs" dxfId="2" priority="3" stopIfTrue="1" operator="between">
      <formula>NOT(ISERROR(SEARCH(" ",B1)))</formula>
      <formula>"="</formula>
    </cfRule>
  </conditionalFormatting>
  <conditionalFormatting sqref="C1">
    <cfRule type="cellIs" dxfId="3" priority="4" stopIfTrue="1" operator="between">
      <formula>NOT(ISERROR(SEARCH(" ",C1)))</formula>
      <formula>"="</formula>
    </cfRule>
  </conditionalFormatting>
  <conditionalFormatting sqref="D1">
    <cfRule type="cellIs" dxfId="4" priority="5" stopIfTrue="1" operator="between">
      <formula>NOT(ISERROR(SEARCH(" ",D1)))</formula>
      <formula>"="</formula>
    </cfRule>
  </conditionalFormatting>
  <conditionalFormatting sqref="B2">
    <cfRule type="cellIs" dxfId="5" priority="6" stopIfTrue="1" operator="between">
      <formula>NOT(ISERROR(SEARCH(" ",B2)))</formula>
      <formula>"="</formula>
    </cfRule>
  </conditionalFormatting>
  <dataValidations count="2">
    <dataValidation type="list" allowBlank="1" showInputMessage="1" showErrorMessage="1" sqref="B1">
      <formula1>"数据表名,学号/工号,姓名,显示字段,不显字段,上传字段,d1,d2,d3,d4,d5,d6,d7,d8,d9,d10,d11,d12,d13,d14,d15,d16,d17,d18,d19,d20,d21,d22,d23,d24,d25,d26,d27,d28,d29,d30,d31,d32,d33,d34,d35,d36,d37,d38,d39,d40,d41,d42,d43,d44,d45,d46,d47,d48,d49,d50"</formula1>
    </dataValidation>
    <dataValidation type="list" allowBlank="1" showInputMessage="1" showErrorMessage="1" sqref="B2">
      <formula1>"数据表名,学号/工号,姓名,显示字段,不显字段,排序字段,是否升序,   d1,d2,d3,d4,d5,d6,d7,d8,d9,d10,d11,d12,d13,d14,d15,d16,d17,d18,d19,d20,d21,d22,d23,d24,d25,d26,d27,d28,d29,d30,d31,d32,d33,d34,d35,d36,d37,d38,d  39,d40,d41,d42,d43,d44,d45,d46,d47,d48,d49,d50"</formula1>
    </dataValidation>
  </dataValidations>
  <pageMargins left="0.699305555555556" right="0.699305555555556" top="0.75" bottom="0.75" header="0.3" footer="0.3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A1:H32"/>
  <sheetViews>
    <sheetView topLeftCell="A29" workbookViewId="0">
      <selection activeCell="D35" sqref="D35"/>
    </sheetView>
  </sheetViews>
  <sheetFormatPr defaultColWidth="9" defaultRowHeight="13.5" outlineLevelCol="7"/>
  <cols>
    <col min="2" max="2" width="9" customWidth="1"/>
    <col min="3" max="3" width="29.875" customWidth="1"/>
    <col min="4" max="4" width="84" customWidth="1"/>
    <col min="5" max="5" width="3.125" customWidth="1"/>
  </cols>
  <sheetData>
    <row r="1" spans="1:8">
      <c r="A1" t="s">
        <v>92</v>
      </c>
      <c r="B1" t="s">
        <v>93</v>
      </c>
      <c r="C1" t="s">
        <v>94</v>
      </c>
      <c r="D1" t="s">
        <v>95</v>
      </c>
      <c r="F1" t="s">
        <v>96</v>
      </c>
      <c r="G1" t="s">
        <v>97</v>
      </c>
      <c r="H1" t="s">
        <v>98</v>
      </c>
    </row>
    <row r="2" customFormat="1" spans="1:6">
      <c r="A2" t="s">
        <v>99</v>
      </c>
      <c r="B2" t="s">
        <v>100</v>
      </c>
      <c r="C2" t="s">
        <v>101</v>
      </c>
      <c r="D2" t="s">
        <v>102</v>
      </c>
      <c r="F2" t="s">
        <v>103</v>
      </c>
    </row>
    <row r="3" customFormat="1" spans="1:6">
      <c r="A3" t="s">
        <v>99</v>
      </c>
      <c r="B3" t="s">
        <v>100</v>
      </c>
      <c r="C3" t="s">
        <v>104</v>
      </c>
      <c r="D3" t="s">
        <v>105</v>
      </c>
      <c r="F3" t="s">
        <v>106</v>
      </c>
    </row>
    <row r="4" customFormat="1" spans="1:6">
      <c r="A4" t="s">
        <v>99</v>
      </c>
      <c r="B4" t="s">
        <v>100</v>
      </c>
      <c r="C4" t="s">
        <v>107</v>
      </c>
      <c r="D4" t="s">
        <v>108</v>
      </c>
      <c r="F4" t="s">
        <v>106</v>
      </c>
    </row>
    <row r="5" customFormat="1" spans="1:6">
      <c r="A5" t="s">
        <v>99</v>
      </c>
      <c r="B5" t="s">
        <v>100</v>
      </c>
      <c r="C5" t="s">
        <v>109</v>
      </c>
      <c r="D5" t="s">
        <v>110</v>
      </c>
      <c r="F5" t="s">
        <v>103</v>
      </c>
    </row>
    <row r="6" customFormat="1" spans="1:6">
      <c r="A6" t="s">
        <v>99</v>
      </c>
      <c r="B6" t="s">
        <v>100</v>
      </c>
      <c r="C6" t="s">
        <v>111</v>
      </c>
      <c r="D6" t="s">
        <v>112</v>
      </c>
      <c r="F6" t="s">
        <v>103</v>
      </c>
    </row>
    <row r="7" customFormat="1" spans="1:6">
      <c r="A7" t="s">
        <v>99</v>
      </c>
      <c r="B7" t="s">
        <v>100</v>
      </c>
      <c r="C7" t="s">
        <v>113</v>
      </c>
      <c r="D7" t="s">
        <v>114</v>
      </c>
      <c r="F7" t="s">
        <v>115</v>
      </c>
    </row>
    <row r="8" customFormat="1" spans="1:6">
      <c r="A8" t="s">
        <v>99</v>
      </c>
      <c r="B8" t="s">
        <v>100</v>
      </c>
      <c r="C8" t="s">
        <v>116</v>
      </c>
      <c r="D8" s="33" t="s">
        <v>117</v>
      </c>
      <c r="F8" t="s">
        <v>118</v>
      </c>
    </row>
    <row r="9" customFormat="1" spans="1:6">
      <c r="A9" t="s">
        <v>99</v>
      </c>
      <c r="B9" t="s">
        <v>100</v>
      </c>
      <c r="C9" t="s">
        <v>119</v>
      </c>
      <c r="D9" t="s">
        <v>120</v>
      </c>
      <c r="F9" t="s">
        <v>121</v>
      </c>
    </row>
    <row r="10" customFormat="1" spans="1:6">
      <c r="A10" t="s">
        <v>99</v>
      </c>
      <c r="B10" t="s">
        <v>100</v>
      </c>
      <c r="C10" t="s">
        <v>122</v>
      </c>
      <c r="D10" t="s">
        <v>123</v>
      </c>
      <c r="F10" t="s">
        <v>106</v>
      </c>
    </row>
    <row r="11" customFormat="1" spans="1:6">
      <c r="A11" t="s">
        <v>99</v>
      </c>
      <c r="B11" t="s">
        <v>100</v>
      </c>
      <c r="C11" t="s">
        <v>124</v>
      </c>
      <c r="D11" t="s">
        <v>125</v>
      </c>
      <c r="F11" t="s">
        <v>126</v>
      </c>
    </row>
    <row r="12" customFormat="1" spans="1:6">
      <c r="A12" t="s">
        <v>99</v>
      </c>
      <c r="B12" t="s">
        <v>100</v>
      </c>
      <c r="C12" t="s">
        <v>127</v>
      </c>
      <c r="D12" t="s">
        <v>128</v>
      </c>
      <c r="F12" t="s">
        <v>129</v>
      </c>
    </row>
    <row r="13" customFormat="1" spans="1:6">
      <c r="A13" t="s">
        <v>99</v>
      </c>
      <c r="B13" t="s">
        <v>100</v>
      </c>
      <c r="C13" t="s">
        <v>130</v>
      </c>
      <c r="D13" t="s">
        <v>131</v>
      </c>
      <c r="F13" t="s">
        <v>103</v>
      </c>
    </row>
    <row r="14" customFormat="1" spans="1:6">
      <c r="A14" t="s">
        <v>99</v>
      </c>
      <c r="B14" t="s">
        <v>100</v>
      </c>
      <c r="C14" t="s">
        <v>132</v>
      </c>
      <c r="D14" t="s">
        <v>133</v>
      </c>
      <c r="F14" t="s">
        <v>134</v>
      </c>
    </row>
    <row r="15" customFormat="1" spans="1:6">
      <c r="A15" t="s">
        <v>135</v>
      </c>
      <c r="B15" t="s">
        <v>136</v>
      </c>
      <c r="C15" t="s">
        <v>137</v>
      </c>
      <c r="D15" t="s">
        <v>138</v>
      </c>
      <c r="F15" t="s">
        <v>139</v>
      </c>
    </row>
    <row r="16" customFormat="1" spans="1:6">
      <c r="A16" t="s">
        <v>135</v>
      </c>
      <c r="B16" t="s">
        <v>136</v>
      </c>
      <c r="C16" t="s">
        <v>140</v>
      </c>
      <c r="D16" t="s">
        <v>140</v>
      </c>
      <c r="F16" t="s">
        <v>141</v>
      </c>
    </row>
    <row r="17" customFormat="1" spans="1:6">
      <c r="A17" t="s">
        <v>135</v>
      </c>
      <c r="B17" t="s">
        <v>136</v>
      </c>
      <c r="C17" t="s">
        <v>142</v>
      </c>
      <c r="D17" t="s">
        <v>143</v>
      </c>
      <c r="F17" t="s">
        <v>144</v>
      </c>
    </row>
    <row r="18" customFormat="1" spans="1:6">
      <c r="A18" t="s">
        <v>145</v>
      </c>
      <c r="B18" t="s">
        <v>136</v>
      </c>
      <c r="C18" t="s">
        <v>146</v>
      </c>
      <c r="D18" t="s">
        <v>147</v>
      </c>
      <c r="F18" t="s">
        <v>148</v>
      </c>
    </row>
    <row r="19" spans="1:6">
      <c r="A19" t="s">
        <v>145</v>
      </c>
      <c r="B19" t="s">
        <v>136</v>
      </c>
      <c r="C19" t="s">
        <v>149</v>
      </c>
      <c r="D19" t="s">
        <v>150</v>
      </c>
      <c r="F19" t="s">
        <v>151</v>
      </c>
    </row>
    <row r="20" spans="1:6">
      <c r="A20" t="s">
        <v>145</v>
      </c>
      <c r="B20" t="s">
        <v>136</v>
      </c>
      <c r="C20" t="s">
        <v>152</v>
      </c>
      <c r="D20" t="s">
        <v>153</v>
      </c>
      <c r="F20" t="s">
        <v>151</v>
      </c>
    </row>
    <row r="21" spans="1:6">
      <c r="A21" t="s">
        <v>145</v>
      </c>
      <c r="B21" t="s">
        <v>136</v>
      </c>
      <c r="C21" t="s">
        <v>154</v>
      </c>
      <c r="D21" t="s">
        <v>155</v>
      </c>
      <c r="F21" t="s">
        <v>151</v>
      </c>
    </row>
    <row r="22" spans="1:6">
      <c r="A22" t="s">
        <v>145</v>
      </c>
      <c r="B22" t="s">
        <v>156</v>
      </c>
      <c r="C22" t="s">
        <v>157</v>
      </c>
      <c r="D22" t="s">
        <v>158</v>
      </c>
      <c r="F22" t="s">
        <v>159</v>
      </c>
    </row>
    <row r="23" spans="1:6">
      <c r="A23" t="s">
        <v>145</v>
      </c>
      <c r="B23" t="s">
        <v>156</v>
      </c>
      <c r="C23" t="s">
        <v>160</v>
      </c>
      <c r="D23" t="s">
        <v>161</v>
      </c>
      <c r="F23" t="s">
        <v>151</v>
      </c>
    </row>
    <row r="24" spans="1:6">
      <c r="A24" t="s">
        <v>145</v>
      </c>
      <c r="B24" t="s">
        <v>156</v>
      </c>
      <c r="C24" t="s">
        <v>162</v>
      </c>
      <c r="D24" t="s">
        <v>163</v>
      </c>
      <c r="F24" t="s">
        <v>159</v>
      </c>
    </row>
    <row r="25" spans="1:6">
      <c r="A25" t="s">
        <v>145</v>
      </c>
      <c r="B25" t="s">
        <v>136</v>
      </c>
      <c r="C25" t="s">
        <v>164</v>
      </c>
      <c r="D25" t="s">
        <v>165</v>
      </c>
      <c r="F25" t="s">
        <v>151</v>
      </c>
    </row>
    <row r="26" spans="1:6">
      <c r="A26" t="s">
        <v>145</v>
      </c>
      <c r="B26" t="s">
        <v>136</v>
      </c>
      <c r="C26" t="s">
        <v>166</v>
      </c>
      <c r="D26" t="s">
        <v>140</v>
      </c>
      <c r="F26" t="s">
        <v>159</v>
      </c>
    </row>
    <row r="27" ht="121.5" spans="1:6">
      <c r="A27" t="s">
        <v>167</v>
      </c>
      <c r="B27" t="s">
        <v>168</v>
      </c>
      <c r="C27" t="s">
        <v>24</v>
      </c>
      <c r="D27" s="1" t="s">
        <v>169</v>
      </c>
      <c r="F27" t="s">
        <v>170</v>
      </c>
    </row>
    <row r="28" ht="81" spans="1:6">
      <c r="A28" t="s">
        <v>167</v>
      </c>
      <c r="B28" t="s">
        <v>168</v>
      </c>
      <c r="C28" t="s">
        <v>26</v>
      </c>
      <c r="D28" s="1" t="s">
        <v>171</v>
      </c>
      <c r="F28" t="s">
        <v>172</v>
      </c>
    </row>
    <row r="29" ht="81" spans="1:6">
      <c r="A29" t="s">
        <v>167</v>
      </c>
      <c r="B29" t="s">
        <v>168</v>
      </c>
      <c r="C29" t="s">
        <v>34</v>
      </c>
      <c r="D29" s="1" t="s">
        <v>173</v>
      </c>
      <c r="F29" t="s">
        <v>172</v>
      </c>
    </row>
    <row r="30" customFormat="1" ht="81" spans="1:6">
      <c r="A30" t="s">
        <v>167</v>
      </c>
      <c r="B30" t="s">
        <v>168</v>
      </c>
      <c r="C30" t="s">
        <v>31</v>
      </c>
      <c r="D30" s="1" t="s">
        <v>174</v>
      </c>
      <c r="F30" t="s">
        <v>172</v>
      </c>
    </row>
    <row r="31" ht="81" spans="1:6">
      <c r="A31" t="s">
        <v>167</v>
      </c>
      <c r="B31" t="s">
        <v>168</v>
      </c>
      <c r="C31" t="s">
        <v>39</v>
      </c>
      <c r="D31" s="1" t="s">
        <v>175</v>
      </c>
      <c r="F31" t="s">
        <v>172</v>
      </c>
    </row>
    <row r="32" ht="81" spans="1:6">
      <c r="A32" t="s">
        <v>167</v>
      </c>
      <c r="B32" t="s">
        <v>168</v>
      </c>
      <c r="C32" t="s">
        <v>3</v>
      </c>
      <c r="D32" s="1" t="s">
        <v>176</v>
      </c>
      <c r="F32" t="s">
        <v>172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多脚本</vt:lpstr>
      <vt:lpstr>密码区</vt:lpstr>
      <vt:lpstr>常用代码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lilyhcn</cp:lastModifiedBy>
  <dcterms:created xsi:type="dcterms:W3CDTF">2006-09-16T00:00:00Z</dcterms:created>
  <cp:lastPrinted>2020-05-27T01:56:00Z</cp:lastPrinted>
  <dcterms:modified xsi:type="dcterms:W3CDTF">2021-07-22T08:46:57Z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2052-10.8.0.5562</vt:lpwstr>
  </property>
</Properties>
</file>