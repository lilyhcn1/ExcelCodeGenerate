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65" windowWidth="14805" windowHeight="7950"/>
  </bookViews>
  <sheets>
    <sheet name="多脚本" sheetId="13" r:id="rId1"/>
    <sheet name="密码区" sheetId="15" state="hidden" r:id="rId2"/>
    <sheet name="常用代码" sheetId="14" r:id="rId3"/>
  </sheets>
  <functionGroups builtInGroupCount="17"/>
  <calcPr calcId="145621"/>
</workbook>
</file>

<file path=xl/calcChain.xml><?xml version="1.0" encoding="utf-8"?>
<calcChain xmlns="http://schemas.openxmlformats.org/spreadsheetml/2006/main">
  <c r="E1" i="13" l="1"/>
  <c r="D1" i="13"/>
  <c r="C1" i="13"/>
  <c r="B1" i="13"/>
  <c r="E21" i="13" l="1"/>
  <c r="E22" i="13"/>
  <c r="E23" i="13"/>
  <c r="C21" i="13"/>
  <c r="C22" i="13"/>
  <c r="C23" i="13"/>
  <c r="A3" i="13" l="1"/>
  <c r="C3" i="13" l="1"/>
  <c r="B3" i="13"/>
</calcChain>
</file>

<file path=xl/sharedStrings.xml><?xml version="1.0" encoding="utf-8"?>
<sst xmlns="http://schemas.openxmlformats.org/spreadsheetml/2006/main" count="116" uniqueCount="114">
  <si>
    <t>参数01</t>
    <phoneticPr fontId="2" type="noConversion"/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</si>
  <si>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</si>
  <si>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</si>
  <si>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</si>
  <si>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</si>
  <si>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</si>
  <si>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</si>
  <si>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</si>
  <si>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</si>
  <si>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</si>
  <si>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</si>
  <si>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</si>
  <si>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</si>
  <si>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</si>
  <si>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常用代码</t>
    <phoneticPr fontId="2" type="noConversion"/>
  </si>
  <si>
    <t>核心代码</t>
    <phoneticPr fontId="2" type="noConversion"/>
  </si>
  <si>
    <t>头部代码</t>
    <phoneticPr fontId="2" type="noConversion"/>
  </si>
  <si>
    <t>底部代码</t>
    <phoneticPr fontId="2" type="noConversion"/>
  </si>
  <si>
    <t>执行VBS.vbs</t>
    <phoneticPr fontId="2" type="noConversion"/>
  </si>
  <si>
    <t>说明1</t>
    <phoneticPr fontId="2" type="noConversion"/>
  </si>
  <si>
    <t>说明2</t>
    <phoneticPr fontId="2" type="noConversion"/>
  </si>
  <si>
    <t>说明3</t>
    <phoneticPr fontId="2" type="noConversion"/>
  </si>
  <si>
    <t>Win远程桌面</t>
  </si>
  <si>
    <t>Win远程桌面</t>
    <phoneticPr fontId="2" type="noConversion"/>
  </si>
  <si>
    <t>IP</t>
    <phoneticPr fontId="2" type="noConversion"/>
  </si>
  <si>
    <t>用户名</t>
    <phoneticPr fontId="2" type="noConversion"/>
  </si>
  <si>
    <t>密码</t>
    <phoneticPr fontId="2" type="noConversion"/>
  </si>
  <si>
    <t>端口</t>
  </si>
  <si>
    <t>full address:s:参数12:参数13
username:s:参数14</t>
    <phoneticPr fontId="2" type="noConversion"/>
  </si>
  <si>
    <t>服务器名</t>
    <phoneticPr fontId="2" type="noConversion"/>
  </si>
  <si>
    <t>参数16</t>
  </si>
  <si>
    <t>参数17</t>
  </si>
  <si>
    <t>参数18</t>
  </si>
  <si>
    <t>参数19</t>
  </si>
  <si>
    <t>参数20</t>
  </si>
  <si>
    <t>Putty远程</t>
    <phoneticPr fontId="2" type="noConversion"/>
  </si>
  <si>
    <t>Xshell命令行</t>
    <phoneticPr fontId="2" type="noConversion"/>
  </si>
  <si>
    <t>参数51</t>
    <phoneticPr fontId="2" type="noConversion"/>
  </si>
  <si>
    <t>参数52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</si>
  <si>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</si>
  <si>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</si>
  <si>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</si>
  <si>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</si>
  <si>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</si>
  <si>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</si>
  <si>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</si>
  <si>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</si>
  <si>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</si>
  <si>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</si>
  <si>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</si>
  <si>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</si>
  <si>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</si>
  <si>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</si>
  <si>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</si>
  <si>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</si>
  <si>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</si>
  <si>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</si>
  <si>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</si>
  <si>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</si>
  <si>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</si>
  <si>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</si>
  <si>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</si>
  <si>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</si>
  <si>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</si>
  <si>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</si>
  <si>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</si>
  <si>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</si>
  <si>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Xshell命令行（旧）</t>
    <phoneticPr fontId="2" type="noConversion"/>
  </si>
  <si>
    <t>administrator</t>
    <phoneticPr fontId="2" type="noConversion"/>
  </si>
  <si>
    <t>root</t>
    <phoneticPr fontId="2" type="noConversion"/>
  </si>
  <si>
    <t>VPS腾迅香港服务器</t>
    <phoneticPr fontId="2" type="noConversion"/>
  </si>
  <si>
    <t>VPS搬瓦工服务器</t>
    <phoneticPr fontId="2" type="noConversion"/>
  </si>
  <si>
    <t>VPS阿里云学生机</t>
    <phoneticPr fontId="2" type="noConversion"/>
  </si>
  <si>
    <t>网页服务器</t>
    <phoneticPr fontId="2" type="noConversion"/>
  </si>
  <si>
    <t>网络服务</t>
    <phoneticPr fontId="2" type="noConversion"/>
  </si>
  <si>
    <t>其它</t>
    <phoneticPr fontId="2" type="noConversion"/>
  </si>
  <si>
    <t>网页</t>
    <phoneticPr fontId="2" type="noConversion"/>
  </si>
  <si>
    <t>到期时间</t>
    <phoneticPr fontId="2" type="noConversion"/>
  </si>
  <si>
    <t>点击次数</t>
    <phoneticPr fontId="2" type="noConversion"/>
  </si>
  <si>
    <t>空行</t>
    <phoneticPr fontId="2" type="noConversion"/>
  </si>
  <si>
    <t>rem 空行</t>
    <phoneticPr fontId="2" type="noConversion"/>
  </si>
  <si>
    <t>Xshell命令行（旧）</t>
  </si>
  <si>
    <t>执行脚本</t>
    <phoneticPr fontId="2" type="noConversion"/>
  </si>
  <si>
    <t>读取文件</t>
    <phoneticPr fontId="2" type="noConversion"/>
  </si>
  <si>
    <t>核心代码</t>
  </si>
  <si>
    <t>头部代码</t>
  </si>
  <si>
    <t>底部代码</t>
  </si>
  <si>
    <t>生成文件</t>
  </si>
  <si>
    <t>说明1</t>
  </si>
  <si>
    <t>说明2</t>
  </si>
  <si>
    <t>读取文件</t>
    <phoneticPr fontId="2" type="noConversion"/>
  </si>
  <si>
    <t>配置文件</t>
    <phoneticPr fontId="2" type="noConversion"/>
  </si>
  <si>
    <t>Win远程桌面（配置文件暂不可用）</t>
    <phoneticPr fontId="2" type="noConversion"/>
  </si>
  <si>
    <t>生成文件（无用）</t>
    <phoneticPr fontId="2" type="noConversion"/>
  </si>
  <si>
    <t>rem --- 参数01 ---
Set ws=WScript.CreateObject("wscript.shell")
tpath = createobject("Scripting.FileSystemObject").GetFile(Wscript.ScriptFullName).ParentFolder.Path &amp;"\"
ws.Run "mstsc.exe /v:参数12:参数13"</t>
  </si>
  <si>
    <t>rem --- 参数01 ---
Set ws=WScript.CreateObject("wscript.shell")
tpath = createobject("Scripting.FileSystemObject").GetFile(Wscript.ScriptFullName).ParentFolder.Path &amp;"\"
ws.Run "mstsc.exe " &amp;tpath &amp; "参数04",,True</t>
  </si>
  <si>
    <t>rem --- 参数01 ---
Set ws=WScript.CreateObject("wscript.shell")
tpath = createobject("Scripting.FileSystemObject").GetFile(Wscript.ScriptFullName).ParentFolder.Path &amp;"\"
ws.Run "http://参数12:参数13"</t>
  </si>
  <si>
    <t>参数15</t>
    <phoneticPr fontId="2" type="noConversion"/>
  </si>
  <si>
    <t>rem --- 参数01 ---
Set ws=WScript.CreateObject("wscript.shell")
tpath = createobject("Scripting.FileSystemObject").GetFile(Wscript.ScriptFullName).ParentFolder.Path &amp;"\"
ws.Run tpath &amp; "辅助文件夹\putty\putty.exe -ssh -l  参数14  -pw  参数15  -P 参数13  参数12",,True</t>
    <phoneticPr fontId="2" type="noConversion"/>
  </si>
  <si>
    <t>Putty远程</t>
  </si>
  <si>
    <t>aaa.com</t>
    <phoneticPr fontId="2" type="noConversion"/>
  </si>
  <si>
    <t>root</t>
    <phoneticPr fontId="2" type="noConversion"/>
  </si>
  <si>
    <r>
      <t xml:space="preserve">     </t>
    </r>
    <r>
      <rPr>
        <sz val="16"/>
        <color theme="1"/>
        <rFont val="宋体"/>
        <family val="3"/>
        <charset val="134"/>
        <scheme val="minor"/>
      </rPr>
      <t xml:space="preserve">Mjj小鸡管理器  </t>
    </r>
    <r>
      <rPr>
        <sz val="11"/>
        <color theme="1"/>
        <rFont val="宋体"/>
        <family val="2"/>
        <scheme val="minor"/>
      </rPr>
      <t xml:space="preserve">
开源地址： https://github.com/lilyhcn1/excelcodegenerate</t>
    </r>
    <phoneticPr fontId="2" type="noConversion"/>
  </si>
  <si>
    <t>备注</t>
    <phoneticPr fontId="2" type="noConversion"/>
  </si>
  <si>
    <t>输入相应信息即可</t>
    <phoneticPr fontId="2" type="noConversion"/>
  </si>
  <si>
    <t>bbbr.com</t>
    <phoneticPr fontId="2" type="noConversion"/>
  </si>
  <si>
    <t>ccc</t>
    <phoneticPr fontId="2" type="noConversion"/>
  </si>
  <si>
    <t>这个要先复制xshell到文件夹并复制配置文件密码区,可以看看代码先。</t>
    <phoneticPr fontId="2" type="noConversion"/>
  </si>
  <si>
    <t>rem --- 参数01 ---
Set ws=WScript.CreateObject("wscript.shell")
tpath = createobject("Scripting.FileSystemObject").GetFile(Wscript.ScriptFullName).ParentFolder.Path &amp;"\"
Set oExec = ws.Exec(tpath &amp; "辅助文件夹\XshellXftpPortable\XshellPortable.exe")
wscript.sleep 1000
ws.Run tpath &amp; "参数11",6,false
CreateObject("WScript.Shell").Run "taskkill /pid "&amp; oExec.ProcessId &amp;" /f /t"</t>
    <phoneticPr fontId="2" type="noConversion"/>
  </si>
  <si>
    <t>Set ws=WScript.CreateObject("wscript.shell")
tpath = createobject("Scripting.FileSystemObject").GetFile(Wscript.ScriptFullName).ParentFolder.Path &amp;"\"
ws.Run tpath &amp; "辅助文件夹\XshellXftpPortable\XshellPortable.exe",0,false
wscript.sleep 2000
ws.Run tpath &amp; "参数11",6,false</t>
    <phoneticPr fontId="2" type="noConversion"/>
  </si>
  <si>
    <t>网页</t>
  </si>
  <si>
    <t>路由器</t>
    <phoneticPr fontId="2" type="noConversion"/>
  </si>
  <si>
    <t>192.168.1.1</t>
    <phoneticPr fontId="2" type="noConversion"/>
  </si>
  <si>
    <t>脚本类型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</si>
</sst>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11"/>
      <color theme="3" tint="0.39979247413556324"/>
      <name val="宋体"/>
      <family val="3"/>
      <charset val="134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34">
    <xf numFmtId="0" fontId="0" fillId="0" borderId="0" xfId="0"/>
    <xf numFmtId="0" fontId="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0" fillId="0" borderId="0" xfId="0"/>
    <xf numFmtId="0" fontId="0" fillId="0" borderId="0" xfId="0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4" borderId="0" xfId="0" applyFill="1" applyBorder="1" applyAlignment="1">
      <alignment vertical="top" wrapText="1"/>
    </xf>
    <xf numFmtId="0" fontId="5" fillId="3" borderId="0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quotePrefix="1" applyAlignment="1">
      <alignment horizontal="left" vertical="top" wrapText="1"/>
    </xf>
    <xf numFmtId="0" fontId="0" fillId="0" borderId="0" xfId="0" applyFill="1" applyBorder="1" applyAlignment="1">
      <alignment vertical="center" shrinkToFit="1"/>
    </xf>
    <xf numFmtId="0" fontId="3" fillId="2" borderId="0" xfId="0" applyFont="1" applyFill="1" applyBorder="1" applyAlignment="1">
      <alignment vertical="center" shrinkToFit="1"/>
    </xf>
    <xf numFmtId="0" fontId="0" fillId="2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wrapText="1" shrinkToFit="1"/>
    </xf>
    <xf numFmtId="0" fontId="6" fillId="0" borderId="0" xfId="0" applyFont="1" applyFill="1" applyBorder="1" applyAlignment="1">
      <alignment vertical="center" wrapText="1"/>
    </xf>
    <xf numFmtId="0" fontId="7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3" borderId="0" xfId="0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 shrinkToFit="1"/>
    </xf>
    <xf numFmtId="0" fontId="8" fillId="0" borderId="0" xfId="0" applyFont="1" applyFill="1" applyBorder="1" applyAlignment="1">
      <alignment horizontal="center" vertical="center" shrinkToFit="1"/>
    </xf>
    <xf numFmtId="0" fontId="6" fillId="0" borderId="0" xfId="0" applyFont="1" applyFill="1" applyBorder="1" applyAlignment="1">
      <alignment horizontal="center" vertical="center" wrapText="1" shrinkToFit="1"/>
    </xf>
    <xf numFmtId="0" fontId="6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0" fontId="11" fillId="0" borderId="0" xfId="0" applyFont="1" applyFill="1" applyBorder="1" applyAlignment="1">
      <alignment vertical="center" wrapText="1"/>
    </xf>
    <xf numFmtId="0" fontId="0" fillId="0" borderId="0" xfId="0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</cellXfs>
  <cellStyles count="2">
    <cellStyle name="常规" xfId="0" builtinId="0"/>
    <cellStyle name="常规 3" xfId="1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752475</xdr:colOff>
          <xdr:row>0</xdr:row>
          <xdr:rowOff>0</xdr:rowOff>
        </xdr:from>
        <xdr:to>
          <xdr:col>13</xdr:col>
          <xdr:colOff>47625</xdr:colOff>
          <xdr:row>17</xdr:row>
          <xdr:rowOff>466725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执行单元格所在行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17</xdr:row>
          <xdr:rowOff>47625</xdr:rowOff>
        </xdr:from>
        <xdr:to>
          <xdr:col>16</xdr:col>
          <xdr:colOff>466725</xdr:colOff>
          <xdr:row>17</xdr:row>
          <xdr:rowOff>457200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752475</xdr:colOff>
          <xdr:row>0</xdr:row>
          <xdr:rowOff>0</xdr:rowOff>
        </xdr:from>
        <xdr:to>
          <xdr:col>14</xdr:col>
          <xdr:colOff>714375</xdr:colOff>
          <xdr:row>17</xdr:row>
          <xdr:rowOff>466725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生成所在行脚本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774"/>
  <sheetViews>
    <sheetView tabSelected="1" topLeftCell="A18" zoomScaleNormal="100" workbookViewId="0">
      <selection activeCell="L22" sqref="L22"/>
    </sheetView>
  </sheetViews>
  <sheetFormatPr defaultColWidth="9" defaultRowHeight="13.5"/>
  <cols>
    <col min="1" max="1" width="15" style="3" customWidth="1"/>
    <col min="2" max="2" width="11.625" style="3" hidden="1" customWidth="1"/>
    <col min="3" max="3" width="3.5" style="3" hidden="1" customWidth="1"/>
    <col min="4" max="4" width="15.875" style="3" hidden="1" customWidth="1"/>
    <col min="5" max="5" width="10.5" style="3" hidden="1" customWidth="1"/>
    <col min="6" max="6" width="23.25" style="3" hidden="1" customWidth="1"/>
    <col min="7" max="8" width="7.5" style="3" hidden="1" customWidth="1"/>
    <col min="9" max="9" width="12" style="3" customWidth="1"/>
    <col min="10" max="10" width="5.625" style="31" customWidth="1"/>
    <col min="11" max="11" width="11.75" style="13" customWidth="1"/>
    <col min="12" max="12" width="15.5" style="13" customWidth="1"/>
    <col min="13" max="13" width="4.5" style="13" customWidth="1"/>
    <col min="14" max="14" width="11.25" style="13" customWidth="1"/>
    <col min="15" max="15" width="11.125" style="13" customWidth="1"/>
    <col min="16" max="16" width="8.625" style="13" customWidth="1"/>
    <col min="17" max="17" width="17.25" style="13" customWidth="1"/>
    <col min="18" max="18" width="11" style="13" customWidth="1"/>
    <col min="19" max="19" width="14.75" style="3" customWidth="1"/>
    <col min="20" max="20" width="32.25" style="3" customWidth="1"/>
    <col min="21" max="16384" width="9" style="3"/>
  </cols>
  <sheetData>
    <row r="1" spans="1:18" ht="70.900000000000006" hidden="1" customHeight="1">
      <c r="A1" s="10" t="s">
        <v>76</v>
      </c>
      <c r="B1" s="17" t="str">
        <f>IF(ISERROR(VLOOKUP(A1,常用代码!A:F,2,FALSE)),"",VLOOKUP(A1,常用代码!A:F,2,FALSE))</f>
        <v>rem --- 参数01 ---
Set ws=WScript.CreateObject("wscript.shell")
tpath = createobject("Scripting.FileSystemObject").GetFile(Wscript.ScriptFullName).ParentFolder.Path &amp;"\"
ws.Run "http://参数12:参数13"</v>
      </c>
      <c r="C1" s="17" t="str">
        <f>IF(LEN(IF(ISERROR(VLOOKUP(A1,常用代码!A:F,3,FALSE)),"",VLOOKUP(A1,常用代码!A:F,3,FALSE)))&lt;2,"",VLOOKUP(A1,常用代码!A:F,3,FALSE))</f>
        <v/>
      </c>
      <c r="D1" s="9" t="str">
        <f>IF(LEN(IF(ISERROR(VLOOKUP(A1,常用代码!A:F,4,FALSE)),"",VLOOKUP(A1,常用代码!A:F,4,FALSE)))&lt;2,"",VLOOKUP(A1,常用代码!A:F,4,FALSE))</f>
        <v/>
      </c>
      <c r="E1" s="17" t="str">
        <f>IF(LEN(IF(ISERROR(VLOOKUP(A1,常用代码!A:F,5,FALSE)),"",VLOOKUP(A1,常用代码!A:F,5,FALSE)))&lt;2,"",VLOOKUP(A1,常用代码!A:F,5,FALSE))</f>
        <v/>
      </c>
    </row>
    <row r="2" spans="1:18" ht="37.5" hidden="1" customHeight="1">
      <c r="A2" s="22" t="s">
        <v>82</v>
      </c>
      <c r="B2" s="3" t="s">
        <v>18</v>
      </c>
    </row>
    <row r="3" spans="1:18" s="4" customFormat="1" ht="45.75" hidden="1" customHeight="1">
      <c r="A3" s="4" t="str">
        <f>IF(ISERROR(VLOOKUP(A1,常用代码!A:I,7,FALSE)&amp;""),"",VLOOKUP(A1,常用代码!A:I,7,FALSE)&amp;"")</f>
        <v/>
      </c>
      <c r="B3" s="4" t="str">
        <f>IF(ISERROR(VLOOKUP(A1,常用代码!A:I,8,FALSE)&amp;""),"",VLOOKUP(A1,常用代码!A:I,8,FALSE)&amp;"")</f>
        <v/>
      </c>
      <c r="C3" s="4" t="str">
        <f>IF(ISERROR(VLOOKUP(A1,常用代码!A:I,9,FALSE)&amp;""),"",VLOOKUP(A1,常用代码!A:I,9,FALSE)&amp;"")</f>
        <v/>
      </c>
      <c r="J3" s="6"/>
      <c r="K3" s="16"/>
      <c r="L3" s="16"/>
      <c r="M3" s="16"/>
      <c r="N3" s="16"/>
      <c r="O3" s="16"/>
      <c r="P3" s="16"/>
      <c r="Q3" s="16"/>
      <c r="R3" s="16"/>
    </row>
    <row r="4" spans="1:18" hidden="1"/>
    <row r="5" spans="1:18" hidden="1"/>
    <row r="6" spans="1:18" hidden="1"/>
    <row r="7" spans="1:18" hidden="1"/>
    <row r="8" spans="1:18" hidden="1"/>
    <row r="9" spans="1:18" hidden="1"/>
    <row r="10" spans="1:18" hidden="1"/>
    <row r="11" spans="1:18" hidden="1"/>
    <row r="12" spans="1:18" hidden="1"/>
    <row r="13" spans="1:18" hidden="1"/>
    <row r="14" spans="1:18" hidden="1"/>
    <row r="15" spans="1:18" hidden="1"/>
    <row r="16" spans="1:18" hidden="1"/>
    <row r="17" spans="1:22" hidden="1"/>
    <row r="18" spans="1:22" ht="38.450000000000003" customHeight="1">
      <c r="A18" s="28" t="s">
        <v>102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</row>
    <row r="19" spans="1:22" s="2" customFormat="1" ht="16.899999999999999" customHeight="1">
      <c r="A19" s="1" t="s">
        <v>0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1" t="s">
        <v>6</v>
      </c>
      <c r="H19" s="1" t="s">
        <v>7</v>
      </c>
      <c r="I19" s="1" t="s">
        <v>8</v>
      </c>
      <c r="J19" s="32" t="s">
        <v>9</v>
      </c>
      <c r="K19" s="14" t="s">
        <v>10</v>
      </c>
      <c r="L19" s="14" t="s">
        <v>11</v>
      </c>
      <c r="M19" s="14" t="s">
        <v>12</v>
      </c>
      <c r="N19" s="14" t="s">
        <v>13</v>
      </c>
      <c r="O19" s="14" t="s">
        <v>97</v>
      </c>
      <c r="P19" s="14" t="s">
        <v>30</v>
      </c>
      <c r="Q19" s="14" t="s">
        <v>31</v>
      </c>
      <c r="R19" s="14" t="s">
        <v>32</v>
      </c>
      <c r="S19" s="14" t="s">
        <v>33</v>
      </c>
      <c r="T19" s="14" t="s">
        <v>34</v>
      </c>
    </row>
    <row r="20" spans="1:22" s="2" customFormat="1" ht="16.899999999999999" customHeight="1">
      <c r="A20" s="2" t="s">
        <v>29</v>
      </c>
      <c r="B20" s="2" t="s">
        <v>84</v>
      </c>
      <c r="C20" s="2" t="s">
        <v>85</v>
      </c>
      <c r="D20" s="2" t="s">
        <v>86</v>
      </c>
      <c r="E20" s="2" t="s">
        <v>87</v>
      </c>
      <c r="F20" s="1" t="s">
        <v>90</v>
      </c>
      <c r="G20" s="2" t="s">
        <v>88</v>
      </c>
      <c r="H20" s="2" t="s">
        <v>89</v>
      </c>
      <c r="I20" s="1" t="s">
        <v>113</v>
      </c>
      <c r="J20" s="33" t="s">
        <v>78</v>
      </c>
      <c r="K20" s="1" t="s">
        <v>91</v>
      </c>
      <c r="L20" s="1" t="s">
        <v>24</v>
      </c>
      <c r="M20" s="2" t="s">
        <v>27</v>
      </c>
      <c r="N20" s="2" t="s">
        <v>25</v>
      </c>
      <c r="O20" s="1" t="s">
        <v>26</v>
      </c>
      <c r="P20" s="2" t="s">
        <v>77</v>
      </c>
      <c r="Q20" s="15" t="s">
        <v>73</v>
      </c>
      <c r="R20" s="15" t="s">
        <v>74</v>
      </c>
      <c r="S20" s="2" t="s">
        <v>75</v>
      </c>
      <c r="T20" s="2" t="s">
        <v>103</v>
      </c>
    </row>
    <row r="21" spans="1:22" s="17" customFormat="1" ht="33" customHeight="1">
      <c r="A21" s="23" t="s">
        <v>70</v>
      </c>
      <c r="B21" s="23"/>
      <c r="C21" s="23" t="str">
        <f>IF(LEN(IF(ISERROR(VLOOKUP(I21,常用代码!A:F,3,FALSE)),"",VLOOKUP(I21,常用代码!A:F,3,FALSE)))&lt;2,"",VLOOKUP(I21,常用代码!A:F,3,FALSE))</f>
        <v/>
      </c>
      <c r="D21" s="23"/>
      <c r="E21" s="23" t="str">
        <f>IF(LEN(IF(ISERROR(VLOOKUP(I21,常用代码!A:F,5,FALSE)),"",VLOOKUP(I21,常用代码!A:F,5,FALSE)))&lt;2,"",VLOOKUP(I21,常用代码!A:F,5,FALSE))</f>
        <v/>
      </c>
      <c r="F21" s="23"/>
      <c r="G21" s="23"/>
      <c r="H21" s="23"/>
      <c r="I21" s="24" t="s">
        <v>99</v>
      </c>
      <c r="J21" s="23">
        <v>1</v>
      </c>
      <c r="K21" s="23"/>
      <c r="L21" s="23" t="s">
        <v>100</v>
      </c>
      <c r="M21" s="23">
        <v>22</v>
      </c>
      <c r="N21" s="23" t="s">
        <v>101</v>
      </c>
      <c r="O21" s="23">
        <v>111</v>
      </c>
      <c r="P21" s="23"/>
      <c r="Q21" s="23"/>
      <c r="R21" s="25"/>
      <c r="S21" s="26"/>
      <c r="T21" s="17" t="s">
        <v>104</v>
      </c>
    </row>
    <row r="22" spans="1:22" s="17" customFormat="1" ht="33" customHeight="1">
      <c r="A22" s="23" t="s">
        <v>71</v>
      </c>
      <c r="B22" s="23"/>
      <c r="C22" s="23" t="str">
        <f>IF(LEN(IF(ISERROR(VLOOKUP(I22,常用代码!A:F,3,FALSE)),"",VLOOKUP(I22,常用代码!A:F,3,FALSE)))&lt;2,"",VLOOKUP(I22,常用代码!A:F,3,FALSE))</f>
        <v/>
      </c>
      <c r="D22" s="23"/>
      <c r="E22" s="23" t="str">
        <f>IF(LEN(IF(ISERROR(VLOOKUP(I22,常用代码!A:F,5,FALSE)),"",VLOOKUP(I22,常用代码!A:F,5,FALSE)))&lt;2,"",VLOOKUP(I22,常用代码!A:F,5,FALSE))</f>
        <v/>
      </c>
      <c r="F22" s="23"/>
      <c r="G22" s="23"/>
      <c r="H22" s="23"/>
      <c r="I22" s="27" t="s">
        <v>22</v>
      </c>
      <c r="J22" s="23">
        <v>2</v>
      </c>
      <c r="K22" s="23"/>
      <c r="L22" s="23" t="s">
        <v>105</v>
      </c>
      <c r="M22" s="23">
        <v>26317</v>
      </c>
      <c r="N22" s="23" t="s">
        <v>69</v>
      </c>
      <c r="O22" s="23">
        <v>11</v>
      </c>
      <c r="P22" s="23"/>
      <c r="Q22" s="23"/>
      <c r="R22" s="25"/>
      <c r="S22" s="26"/>
      <c r="T22" s="17" t="s">
        <v>104</v>
      </c>
    </row>
    <row r="23" spans="1:22" s="17" customFormat="1" ht="33" customHeight="1">
      <c r="A23" s="23" t="s">
        <v>72</v>
      </c>
      <c r="B23" s="23"/>
      <c r="C23" s="23" t="str">
        <f>IF(LEN(IF(ISERROR(VLOOKUP(I23,常用代码!A:F,3,FALSE)),"",VLOOKUP(I23,常用代码!A:F,3,FALSE)))&lt;2,"",VLOOKUP(I23,常用代码!A:F,3,FALSE))</f>
        <v/>
      </c>
      <c r="D23" s="23"/>
      <c r="E23" s="23" t="str">
        <f>IF(LEN(IF(ISERROR(VLOOKUP(I23,常用代码!A:F,5,FALSE)),"",VLOOKUP(I23,常用代码!A:F,5,FALSE)))&lt;2,"",VLOOKUP(I23,常用代码!A:F,5,FALSE))</f>
        <v/>
      </c>
      <c r="F23" s="23"/>
      <c r="G23" s="23"/>
      <c r="H23" s="23"/>
      <c r="I23" s="27" t="s">
        <v>81</v>
      </c>
      <c r="J23" s="23">
        <v>1</v>
      </c>
      <c r="K23" s="23"/>
      <c r="L23" s="23" t="s">
        <v>106</v>
      </c>
      <c r="M23" s="23">
        <v>8861</v>
      </c>
      <c r="N23" s="23" t="s">
        <v>68</v>
      </c>
      <c r="O23" s="23">
        <v>222</v>
      </c>
      <c r="P23" s="23"/>
      <c r="Q23" s="23"/>
      <c r="R23" s="25"/>
      <c r="S23" s="26"/>
      <c r="T23" s="30" t="s">
        <v>107</v>
      </c>
    </row>
    <row r="24" spans="1:22" ht="33" customHeight="1">
      <c r="A24" s="23" t="s">
        <v>111</v>
      </c>
      <c r="C24" s="7"/>
      <c r="D24" s="6"/>
      <c r="I24" s="27" t="s">
        <v>110</v>
      </c>
      <c r="J24" s="31">
        <v>1</v>
      </c>
      <c r="L24" s="23" t="s">
        <v>112</v>
      </c>
      <c r="M24" s="23">
        <v>80</v>
      </c>
      <c r="N24" s="23"/>
      <c r="O24" s="23"/>
      <c r="P24" s="23"/>
      <c r="Q24" s="23"/>
      <c r="R24" s="23"/>
      <c r="S24" s="23"/>
    </row>
    <row r="25" spans="1:22" ht="33" customHeight="1">
      <c r="A25" s="17"/>
      <c r="C25" s="7"/>
      <c r="D25" s="6"/>
      <c r="I25" s="27"/>
    </row>
    <row r="26" spans="1:22" ht="33" customHeight="1">
      <c r="A26" s="17"/>
      <c r="C26" s="7"/>
      <c r="D26" s="6"/>
      <c r="I26" s="27"/>
    </row>
    <row r="27" spans="1:22" ht="33" customHeight="1">
      <c r="A27" s="17"/>
      <c r="C27" s="7"/>
      <c r="D27" s="6"/>
      <c r="I27" s="27"/>
    </row>
    <row r="28" spans="1:22" ht="33" customHeight="1">
      <c r="A28" s="17"/>
      <c r="C28" s="7"/>
      <c r="D28" s="6"/>
      <c r="I28" s="27"/>
    </row>
    <row r="29" spans="1:22" ht="33" customHeight="1">
      <c r="A29" s="17"/>
      <c r="C29" s="7"/>
      <c r="D29" s="6"/>
      <c r="I29" s="27"/>
    </row>
    <row r="30" spans="1:22" ht="33" customHeight="1">
      <c r="A30" s="17"/>
      <c r="C30" s="7"/>
      <c r="D30" s="6"/>
      <c r="I30" s="27"/>
    </row>
    <row r="31" spans="1:22" ht="33" customHeight="1">
      <c r="A31" s="17"/>
      <c r="C31" s="7"/>
      <c r="D31" s="6"/>
      <c r="I31" s="27"/>
    </row>
    <row r="32" spans="1:22" ht="33" customHeight="1">
      <c r="A32" s="17"/>
      <c r="C32" s="7"/>
      <c r="D32" s="6"/>
    </row>
    <row r="33" spans="1:4" ht="33" customHeight="1">
      <c r="A33" s="17"/>
      <c r="C33" s="7"/>
      <c r="D33" s="6"/>
    </row>
    <row r="34" spans="1:4" ht="33" customHeight="1">
      <c r="A34" s="17"/>
      <c r="C34" s="7"/>
      <c r="D34" s="6"/>
    </row>
    <row r="35" spans="1:4">
      <c r="A35" s="17"/>
      <c r="C35" s="7"/>
      <c r="D35" s="6"/>
    </row>
    <row r="36" spans="1:4">
      <c r="A36" s="17"/>
      <c r="C36" s="7"/>
      <c r="D36" s="6"/>
    </row>
    <row r="37" spans="1:4">
      <c r="A37" s="17"/>
      <c r="C37" s="7"/>
      <c r="D37" s="6"/>
    </row>
    <row r="38" spans="1:4">
      <c r="A38" s="17"/>
      <c r="C38" s="7"/>
      <c r="D38" s="6"/>
    </row>
    <row r="39" spans="1:4">
      <c r="A39" s="17"/>
      <c r="C39" s="7"/>
      <c r="D39" s="6"/>
    </row>
    <row r="40" spans="1:4">
      <c r="A40" s="17"/>
      <c r="C40" s="7"/>
      <c r="D40" s="6"/>
    </row>
    <row r="41" spans="1:4">
      <c r="A41" s="17"/>
      <c r="C41" s="7"/>
      <c r="D41" s="6"/>
    </row>
    <row r="42" spans="1:4">
      <c r="A42" s="17"/>
      <c r="C42" s="7"/>
      <c r="D42" s="6"/>
    </row>
    <row r="43" spans="1:4">
      <c r="A43" s="17"/>
      <c r="C43" s="7"/>
      <c r="D43" s="6"/>
    </row>
    <row r="44" spans="1:4">
      <c r="A44" s="17"/>
      <c r="C44" s="7"/>
      <c r="D44" s="6"/>
    </row>
    <row r="45" spans="1:4">
      <c r="A45" s="17"/>
      <c r="C45" s="7"/>
      <c r="D45" s="6"/>
    </row>
    <row r="46" spans="1:4">
      <c r="A46" s="17"/>
      <c r="C46" s="7"/>
      <c r="D46" s="6"/>
    </row>
    <row r="47" spans="1:4">
      <c r="A47" s="17"/>
      <c r="C47" s="7"/>
      <c r="D47" s="6"/>
    </row>
    <row r="48" spans="1:4">
      <c r="A48" s="17"/>
      <c r="C48" s="7"/>
      <c r="D48" s="6"/>
    </row>
    <row r="49" spans="1:4">
      <c r="A49" s="17"/>
      <c r="C49" s="7"/>
      <c r="D49" s="6"/>
    </row>
    <row r="50" spans="1:4">
      <c r="A50" s="17"/>
      <c r="C50" s="7"/>
      <c r="D50" s="6"/>
    </row>
    <row r="51" spans="1:4">
      <c r="A51" s="17"/>
      <c r="C51" s="7"/>
      <c r="D51" s="6"/>
    </row>
    <row r="52" spans="1:4">
      <c r="A52" s="17"/>
      <c r="C52" s="7"/>
      <c r="D52" s="6"/>
    </row>
    <row r="53" spans="1:4">
      <c r="A53" s="17"/>
      <c r="C53" s="7"/>
      <c r="D53" s="6"/>
    </row>
    <row r="54" spans="1:4">
      <c r="A54" s="17"/>
      <c r="C54" s="7"/>
      <c r="D54" s="6"/>
    </row>
    <row r="55" spans="1:4">
      <c r="A55" s="17"/>
      <c r="C55" s="7"/>
      <c r="D55" s="6"/>
    </row>
    <row r="56" spans="1:4">
      <c r="A56" s="17"/>
      <c r="C56" s="7"/>
      <c r="D56" s="6"/>
    </row>
    <row r="57" spans="1:4">
      <c r="A57" s="17"/>
      <c r="C57" s="7"/>
      <c r="D57" s="6"/>
    </row>
    <row r="58" spans="1:4">
      <c r="A58" s="17"/>
      <c r="C58" s="7"/>
      <c r="D58" s="6"/>
    </row>
    <row r="59" spans="1:4">
      <c r="A59" s="17"/>
      <c r="C59" s="7"/>
      <c r="D59" s="6"/>
    </row>
    <row r="60" spans="1:4">
      <c r="A60" s="17"/>
      <c r="C60" s="7"/>
      <c r="D60" s="6"/>
    </row>
    <row r="61" spans="1:4">
      <c r="A61" s="17"/>
      <c r="C61" s="7"/>
      <c r="D61" s="6"/>
    </row>
    <row r="62" spans="1:4">
      <c r="A62" s="17"/>
      <c r="C62" s="7"/>
      <c r="D62" s="6"/>
    </row>
    <row r="63" spans="1:4">
      <c r="A63" s="17"/>
      <c r="C63" s="7"/>
      <c r="D63" s="6"/>
    </row>
    <row r="64" spans="1:4">
      <c r="A64" s="17"/>
      <c r="C64" s="7"/>
      <c r="D64" s="6"/>
    </row>
    <row r="65" spans="1:4">
      <c r="A65" s="17"/>
      <c r="C65" s="7"/>
      <c r="D65" s="6"/>
    </row>
    <row r="66" spans="1:4">
      <c r="A66" s="17"/>
      <c r="C66" s="7"/>
      <c r="D66" s="6"/>
    </row>
    <row r="67" spans="1:4">
      <c r="A67" s="17"/>
      <c r="C67" s="7"/>
      <c r="D67" s="6"/>
    </row>
    <row r="68" spans="1:4">
      <c r="A68" s="17"/>
      <c r="C68" s="7"/>
      <c r="D68" s="6"/>
    </row>
    <row r="69" spans="1:4">
      <c r="A69" s="17"/>
      <c r="C69" s="7"/>
      <c r="D69" s="6"/>
    </row>
    <row r="70" spans="1:4">
      <c r="A70" s="17"/>
      <c r="C70" s="7"/>
      <c r="D70" s="6"/>
    </row>
    <row r="71" spans="1:4">
      <c r="A71" s="17"/>
      <c r="C71" s="7"/>
      <c r="D71" s="6"/>
    </row>
    <row r="72" spans="1:4">
      <c r="A72" s="17"/>
      <c r="C72" s="7"/>
      <c r="D72" s="6"/>
    </row>
    <row r="73" spans="1:4">
      <c r="A73" s="17"/>
      <c r="C73" s="7"/>
      <c r="D73" s="6"/>
    </row>
    <row r="74" spans="1:4">
      <c r="A74" s="17"/>
      <c r="C74" s="7"/>
      <c r="D74" s="6"/>
    </row>
    <row r="75" spans="1:4">
      <c r="A75" s="17"/>
      <c r="C75" s="7"/>
      <c r="D75" s="6"/>
    </row>
    <row r="76" spans="1:4">
      <c r="A76" s="17"/>
      <c r="C76" s="7"/>
      <c r="D76" s="6"/>
    </row>
    <row r="77" spans="1:4">
      <c r="A77" s="17"/>
      <c r="C77" s="7"/>
      <c r="D77" s="6"/>
    </row>
    <row r="78" spans="1:4">
      <c r="A78" s="17"/>
      <c r="C78" s="7"/>
      <c r="D78" s="6"/>
    </row>
    <row r="79" spans="1:4">
      <c r="A79" s="17"/>
      <c r="C79" s="7"/>
      <c r="D79" s="6"/>
    </row>
    <row r="80" spans="1:4">
      <c r="A80" s="17"/>
      <c r="C80" s="7"/>
      <c r="D80" s="6"/>
    </row>
    <row r="81" spans="1:4">
      <c r="A81" s="17"/>
      <c r="C81" s="7"/>
      <c r="D81" s="6"/>
    </row>
    <row r="82" spans="1:4">
      <c r="A82" s="17"/>
      <c r="C82" s="7"/>
      <c r="D82" s="6"/>
    </row>
    <row r="83" spans="1:4">
      <c r="A83" s="17"/>
      <c r="C83" s="7"/>
      <c r="D83" s="6"/>
    </row>
    <row r="84" spans="1:4">
      <c r="A84" s="17"/>
      <c r="C84" s="7"/>
      <c r="D84" s="6"/>
    </row>
    <row r="85" spans="1:4">
      <c r="A85" s="17"/>
      <c r="C85" s="7"/>
      <c r="D85" s="6"/>
    </row>
    <row r="86" spans="1:4">
      <c r="A86" s="17"/>
      <c r="C86" s="7"/>
      <c r="D86" s="6"/>
    </row>
    <row r="87" spans="1:4">
      <c r="A87" s="17"/>
      <c r="C87" s="7"/>
      <c r="D87" s="6"/>
    </row>
    <row r="88" spans="1:4">
      <c r="A88" s="17"/>
      <c r="C88" s="7"/>
      <c r="D88" s="6"/>
    </row>
    <row r="89" spans="1:4">
      <c r="A89" s="17"/>
      <c r="C89" s="7"/>
      <c r="D89" s="6"/>
    </row>
    <row r="90" spans="1:4">
      <c r="A90" s="17"/>
      <c r="C90" s="7"/>
      <c r="D90" s="6"/>
    </row>
    <row r="91" spans="1:4">
      <c r="A91" s="17"/>
      <c r="C91" s="7"/>
      <c r="D91" s="6"/>
    </row>
    <row r="92" spans="1:4">
      <c r="A92" s="17"/>
      <c r="C92" s="7"/>
      <c r="D92" s="6"/>
    </row>
    <row r="93" spans="1:4">
      <c r="A93" s="17"/>
      <c r="C93" s="7"/>
      <c r="D93" s="6"/>
    </row>
    <row r="94" spans="1:4">
      <c r="A94" s="17"/>
      <c r="C94" s="7"/>
      <c r="D94" s="6"/>
    </row>
    <row r="95" spans="1:4">
      <c r="A95" s="17"/>
      <c r="C95" s="7"/>
      <c r="D95" s="6"/>
    </row>
    <row r="96" spans="1:4">
      <c r="A96" s="17"/>
      <c r="C96" s="7"/>
      <c r="D96" s="6"/>
    </row>
    <row r="97" spans="1:4">
      <c r="A97" s="17"/>
      <c r="C97" s="7"/>
      <c r="D97" s="6"/>
    </row>
    <row r="98" spans="1:4">
      <c r="A98" s="17"/>
      <c r="C98" s="7"/>
      <c r="D98" s="6"/>
    </row>
    <row r="99" spans="1:4">
      <c r="A99" s="17"/>
      <c r="C99" s="7"/>
      <c r="D99" s="6"/>
    </row>
    <row r="100" spans="1:4">
      <c r="A100" s="17"/>
      <c r="C100" s="7"/>
      <c r="D100" s="6"/>
    </row>
    <row r="101" spans="1:4">
      <c r="A101" s="17"/>
      <c r="C101" s="7"/>
      <c r="D101" s="6"/>
    </row>
    <row r="102" spans="1:4">
      <c r="A102" s="17"/>
      <c r="C102" s="7"/>
      <c r="D102" s="6"/>
    </row>
    <row r="103" spans="1:4">
      <c r="A103" s="17"/>
      <c r="C103" s="7"/>
      <c r="D103" s="6"/>
    </row>
    <row r="104" spans="1:4">
      <c r="A104" s="17"/>
      <c r="C104" s="7"/>
      <c r="D104" s="6"/>
    </row>
    <row r="105" spans="1:4">
      <c r="A105" s="17"/>
      <c r="C105" s="7"/>
      <c r="D105" s="6"/>
    </row>
    <row r="106" spans="1:4">
      <c r="A106" s="17"/>
      <c r="C106" s="7"/>
      <c r="D106" s="6"/>
    </row>
    <row r="107" spans="1:4">
      <c r="A107" s="17"/>
      <c r="C107" s="7"/>
      <c r="D107" s="6"/>
    </row>
    <row r="108" spans="1:4">
      <c r="A108" s="17"/>
      <c r="C108" s="7"/>
      <c r="D108" s="6"/>
    </row>
    <row r="109" spans="1:4">
      <c r="A109" s="17"/>
      <c r="C109" s="7"/>
      <c r="D109" s="6"/>
    </row>
    <row r="110" spans="1:4">
      <c r="A110" s="17"/>
      <c r="C110" s="7"/>
      <c r="D110" s="6"/>
    </row>
    <row r="111" spans="1:4">
      <c r="A111" s="17"/>
      <c r="C111" s="7"/>
      <c r="D111" s="6"/>
    </row>
    <row r="112" spans="1:4">
      <c r="A112" s="17"/>
      <c r="C112" s="7"/>
      <c r="D112" s="6"/>
    </row>
    <row r="113" spans="1:4">
      <c r="A113" s="17"/>
      <c r="C113" s="7"/>
      <c r="D113" s="6"/>
    </row>
    <row r="114" spans="1:4">
      <c r="A114" s="17"/>
      <c r="C114" s="7"/>
      <c r="D114" s="6"/>
    </row>
    <row r="115" spans="1:4">
      <c r="A115" s="17"/>
      <c r="C115" s="7"/>
      <c r="D115" s="6"/>
    </row>
    <row r="116" spans="1:4">
      <c r="A116" s="17"/>
      <c r="C116" s="7"/>
      <c r="D116" s="6"/>
    </row>
    <row r="117" spans="1:4">
      <c r="A117" s="17"/>
      <c r="C117" s="7"/>
      <c r="D117" s="6"/>
    </row>
    <row r="118" spans="1:4">
      <c r="A118" s="17"/>
      <c r="C118" s="7"/>
      <c r="D118" s="6"/>
    </row>
    <row r="119" spans="1:4">
      <c r="A119" s="17"/>
      <c r="C119" s="7"/>
      <c r="D119" s="6"/>
    </row>
    <row r="120" spans="1:4">
      <c r="A120" s="17"/>
      <c r="C120" s="7"/>
      <c r="D120" s="6"/>
    </row>
    <row r="121" spans="1:4">
      <c r="A121" s="17"/>
      <c r="C121" s="7"/>
      <c r="D121" s="6"/>
    </row>
    <row r="122" spans="1:4">
      <c r="A122" s="17"/>
      <c r="C122" s="7"/>
      <c r="D122" s="6"/>
    </row>
    <row r="123" spans="1:4">
      <c r="A123" s="17"/>
      <c r="C123" s="7"/>
      <c r="D123" s="6"/>
    </row>
    <row r="124" spans="1:4">
      <c r="A124" s="17"/>
      <c r="C124" s="7"/>
      <c r="D124" s="6"/>
    </row>
    <row r="125" spans="1:4">
      <c r="A125" s="17"/>
      <c r="C125" s="7"/>
      <c r="D125" s="6"/>
    </row>
    <row r="126" spans="1:4">
      <c r="A126" s="17"/>
      <c r="C126" s="7"/>
      <c r="D126" s="6"/>
    </row>
    <row r="127" spans="1:4">
      <c r="A127" s="17"/>
      <c r="C127" s="7"/>
      <c r="D127" s="6"/>
    </row>
    <row r="128" spans="1:4">
      <c r="A128" s="17"/>
      <c r="C128" s="7"/>
      <c r="D128" s="6"/>
    </row>
    <row r="129" spans="1:4">
      <c r="A129" s="17"/>
      <c r="C129" s="7"/>
      <c r="D129" s="6"/>
    </row>
    <row r="130" spans="1:4">
      <c r="A130" s="17"/>
      <c r="C130" s="7"/>
      <c r="D130" s="6"/>
    </row>
    <row r="131" spans="1:4">
      <c r="A131" s="17"/>
      <c r="C131" s="7"/>
      <c r="D131" s="6"/>
    </row>
    <row r="132" spans="1:4">
      <c r="A132" s="17"/>
      <c r="C132" s="7"/>
      <c r="D132" s="6"/>
    </row>
    <row r="133" spans="1:4">
      <c r="A133" s="17"/>
      <c r="C133" s="7"/>
      <c r="D133" s="6"/>
    </row>
    <row r="134" spans="1:4">
      <c r="A134" s="17"/>
      <c r="C134" s="7"/>
      <c r="D134" s="6"/>
    </row>
    <row r="135" spans="1:4">
      <c r="A135" s="17"/>
      <c r="C135" s="7"/>
      <c r="D135" s="6"/>
    </row>
    <row r="136" spans="1:4">
      <c r="A136" s="17"/>
      <c r="C136" s="7"/>
      <c r="D136" s="6"/>
    </row>
    <row r="137" spans="1:4">
      <c r="A137" s="17"/>
      <c r="C137" s="7"/>
      <c r="D137" s="6"/>
    </row>
    <row r="138" spans="1:4">
      <c r="A138" s="17"/>
      <c r="C138" s="7"/>
      <c r="D138" s="6"/>
    </row>
    <row r="139" spans="1:4">
      <c r="A139" s="17"/>
      <c r="C139" s="7"/>
      <c r="D139" s="6"/>
    </row>
    <row r="140" spans="1:4">
      <c r="A140" s="17"/>
      <c r="C140" s="7"/>
      <c r="D140" s="6"/>
    </row>
    <row r="141" spans="1:4">
      <c r="A141" s="17"/>
      <c r="C141" s="7"/>
      <c r="D141" s="6"/>
    </row>
    <row r="142" spans="1:4">
      <c r="A142" s="17"/>
      <c r="C142" s="7"/>
      <c r="D142" s="6"/>
    </row>
    <row r="143" spans="1:4">
      <c r="A143" s="17"/>
      <c r="C143" s="7"/>
      <c r="D143" s="6"/>
    </row>
    <row r="144" spans="1:4">
      <c r="A144" s="17"/>
      <c r="C144" s="7"/>
      <c r="D144" s="6"/>
    </row>
    <row r="145" spans="1:4">
      <c r="A145" s="17"/>
      <c r="C145" s="7"/>
      <c r="D145" s="6"/>
    </row>
    <row r="146" spans="1:4">
      <c r="A146" s="17"/>
      <c r="C146" s="7"/>
      <c r="D146" s="6"/>
    </row>
    <row r="147" spans="1:4">
      <c r="A147" s="17"/>
      <c r="C147" s="7"/>
      <c r="D147" s="6"/>
    </row>
    <row r="148" spans="1:4">
      <c r="A148" s="17"/>
      <c r="C148" s="7"/>
      <c r="D148" s="6"/>
    </row>
    <row r="149" spans="1:4">
      <c r="A149" s="17"/>
      <c r="C149" s="7"/>
      <c r="D149" s="6"/>
    </row>
    <row r="150" spans="1:4">
      <c r="A150" s="17"/>
      <c r="C150" s="7"/>
      <c r="D150" s="6"/>
    </row>
    <row r="151" spans="1:4">
      <c r="A151" s="17"/>
      <c r="C151" s="7"/>
      <c r="D151" s="6"/>
    </row>
    <row r="152" spans="1:4">
      <c r="A152" s="17"/>
      <c r="C152" s="7"/>
      <c r="D152" s="6"/>
    </row>
    <row r="153" spans="1:4">
      <c r="A153" s="17"/>
      <c r="C153" s="7"/>
      <c r="D153" s="6"/>
    </row>
    <row r="154" spans="1:4">
      <c r="A154" s="17"/>
      <c r="C154" s="7"/>
      <c r="D154" s="6"/>
    </row>
    <row r="155" spans="1:4">
      <c r="A155" s="17"/>
      <c r="C155" s="7"/>
      <c r="D155" s="6"/>
    </row>
    <row r="156" spans="1:4">
      <c r="A156" s="17"/>
      <c r="C156" s="7"/>
      <c r="D156" s="6"/>
    </row>
    <row r="157" spans="1:4">
      <c r="A157" s="17"/>
      <c r="C157" s="7"/>
      <c r="D157" s="6"/>
    </row>
    <row r="158" spans="1:4">
      <c r="A158" s="17"/>
      <c r="C158" s="7"/>
      <c r="D158" s="6"/>
    </row>
    <row r="159" spans="1:4">
      <c r="A159" s="17"/>
      <c r="C159" s="7"/>
      <c r="D159" s="6"/>
    </row>
    <row r="160" spans="1:4">
      <c r="A160" s="17"/>
      <c r="C160" s="7"/>
      <c r="D160" s="6"/>
    </row>
    <row r="161" spans="1:4">
      <c r="A161" s="17"/>
      <c r="C161" s="7"/>
      <c r="D161" s="6"/>
    </row>
    <row r="162" spans="1:4">
      <c r="A162" s="17"/>
      <c r="C162" s="7"/>
      <c r="D162" s="6"/>
    </row>
    <row r="163" spans="1:4">
      <c r="A163" s="17"/>
      <c r="C163" s="7"/>
      <c r="D163" s="6"/>
    </row>
    <row r="164" spans="1:4">
      <c r="A164" s="17"/>
      <c r="C164" s="7"/>
      <c r="D164" s="6"/>
    </row>
    <row r="165" spans="1:4">
      <c r="A165" s="17"/>
      <c r="C165" s="7"/>
      <c r="D165" s="6"/>
    </row>
    <row r="166" spans="1:4">
      <c r="A166" s="17"/>
      <c r="C166" s="7"/>
      <c r="D166" s="6"/>
    </row>
    <row r="167" spans="1:4">
      <c r="A167" s="17"/>
      <c r="C167" s="7"/>
      <c r="D167" s="6"/>
    </row>
    <row r="168" spans="1:4">
      <c r="A168" s="17"/>
      <c r="C168" s="7"/>
      <c r="D168" s="6"/>
    </row>
    <row r="169" spans="1:4">
      <c r="A169" s="17"/>
      <c r="C169" s="7"/>
      <c r="D169" s="6"/>
    </row>
    <row r="170" spans="1:4">
      <c r="A170" s="17"/>
      <c r="C170" s="7"/>
      <c r="D170" s="6"/>
    </row>
    <row r="171" spans="1:4">
      <c r="A171" s="17"/>
      <c r="C171" s="7"/>
      <c r="D171" s="6"/>
    </row>
    <row r="172" spans="1:4">
      <c r="A172" s="17"/>
      <c r="C172" s="7"/>
      <c r="D172" s="6"/>
    </row>
    <row r="173" spans="1:4">
      <c r="A173" s="17"/>
      <c r="C173" s="7"/>
      <c r="D173" s="6"/>
    </row>
    <row r="174" spans="1:4">
      <c r="A174" s="17"/>
      <c r="C174" s="7"/>
      <c r="D174" s="6"/>
    </row>
    <row r="175" spans="1:4">
      <c r="A175" s="17"/>
      <c r="C175" s="7"/>
      <c r="D175" s="6"/>
    </row>
    <row r="176" spans="1:4">
      <c r="A176" s="17"/>
      <c r="C176" s="7"/>
      <c r="D176" s="6"/>
    </row>
    <row r="177" spans="1:4">
      <c r="A177" s="17"/>
      <c r="C177" s="7"/>
      <c r="D177" s="6"/>
    </row>
    <row r="178" spans="1:4">
      <c r="A178" s="17"/>
      <c r="C178" s="7"/>
      <c r="D178" s="6"/>
    </row>
    <row r="179" spans="1:4">
      <c r="A179" s="17"/>
      <c r="C179" s="7"/>
      <c r="D179" s="6"/>
    </row>
    <row r="180" spans="1:4">
      <c r="A180" s="17"/>
      <c r="C180" s="7"/>
      <c r="D180" s="6"/>
    </row>
    <row r="181" spans="1:4">
      <c r="A181" s="17"/>
      <c r="C181" s="7"/>
      <c r="D181" s="6"/>
    </row>
    <row r="182" spans="1:4">
      <c r="A182" s="17"/>
      <c r="C182" s="7"/>
      <c r="D182" s="6"/>
    </row>
    <row r="183" spans="1:4">
      <c r="A183" s="17"/>
      <c r="C183" s="7"/>
      <c r="D183" s="6"/>
    </row>
    <row r="184" spans="1:4">
      <c r="A184" s="17"/>
      <c r="C184" s="7"/>
      <c r="D184" s="6"/>
    </row>
    <row r="185" spans="1:4">
      <c r="A185" s="17"/>
      <c r="C185" s="7"/>
      <c r="D185" s="6"/>
    </row>
    <row r="186" spans="1:4">
      <c r="A186" s="17"/>
      <c r="C186" s="7"/>
      <c r="D186" s="6"/>
    </row>
    <row r="187" spans="1:4">
      <c r="A187" s="17"/>
      <c r="C187" s="7"/>
      <c r="D187" s="6"/>
    </row>
    <row r="188" spans="1:4">
      <c r="A188" s="17"/>
      <c r="C188" s="7"/>
      <c r="D188" s="6"/>
    </row>
    <row r="189" spans="1:4">
      <c r="A189" s="17"/>
      <c r="C189" s="7"/>
      <c r="D189" s="6"/>
    </row>
    <row r="190" spans="1:4">
      <c r="A190" s="17"/>
      <c r="C190" s="7"/>
      <c r="D190" s="6"/>
    </row>
    <row r="191" spans="1:4">
      <c r="A191" s="17"/>
      <c r="C191" s="7"/>
      <c r="D191" s="6"/>
    </row>
    <row r="192" spans="1:4">
      <c r="A192" s="17"/>
      <c r="C192" s="7"/>
      <c r="D192" s="6"/>
    </row>
    <row r="193" spans="1:4">
      <c r="A193" s="17"/>
      <c r="C193" s="7"/>
      <c r="D193" s="6"/>
    </row>
    <row r="194" spans="1:4">
      <c r="A194" s="17"/>
      <c r="C194" s="7"/>
      <c r="D194" s="6"/>
    </row>
    <row r="195" spans="1:4">
      <c r="A195" s="17"/>
      <c r="C195" s="7"/>
      <c r="D195" s="6"/>
    </row>
    <row r="196" spans="1:4">
      <c r="A196" s="17"/>
      <c r="C196" s="7"/>
      <c r="D196" s="6"/>
    </row>
    <row r="197" spans="1:4">
      <c r="A197" s="17"/>
      <c r="C197" s="7"/>
      <c r="D197" s="6"/>
    </row>
    <row r="198" spans="1:4">
      <c r="A198" s="17"/>
      <c r="C198" s="7"/>
      <c r="D198" s="6"/>
    </row>
    <row r="199" spans="1:4">
      <c r="A199" s="17"/>
      <c r="C199" s="7"/>
      <c r="D199" s="6"/>
    </row>
    <row r="200" spans="1:4">
      <c r="A200" s="17"/>
      <c r="C200" s="7"/>
      <c r="D200" s="6"/>
    </row>
    <row r="201" spans="1:4">
      <c r="A201" s="17"/>
      <c r="C201" s="7"/>
      <c r="D201" s="6"/>
    </row>
    <row r="202" spans="1:4">
      <c r="A202" s="17"/>
      <c r="C202" s="7"/>
      <c r="D202" s="6"/>
    </row>
    <row r="203" spans="1:4">
      <c r="A203" s="17"/>
      <c r="C203" s="7"/>
      <c r="D203" s="6"/>
    </row>
    <row r="204" spans="1:4">
      <c r="A204" s="17"/>
      <c r="C204" s="7"/>
      <c r="D204" s="6"/>
    </row>
    <row r="205" spans="1:4">
      <c r="A205" s="17"/>
      <c r="C205" s="7"/>
      <c r="D205" s="6"/>
    </row>
    <row r="206" spans="1:4">
      <c r="A206" s="17"/>
      <c r="C206" s="7"/>
      <c r="D206" s="6"/>
    </row>
    <row r="207" spans="1:4">
      <c r="A207" s="17"/>
      <c r="C207" s="7"/>
      <c r="D207" s="6"/>
    </row>
    <row r="208" spans="1:4">
      <c r="A208" s="17"/>
      <c r="C208" s="7"/>
      <c r="D208" s="6"/>
    </row>
    <row r="209" spans="1:4">
      <c r="A209" s="17"/>
      <c r="C209" s="7"/>
      <c r="D209" s="6"/>
    </row>
    <row r="210" spans="1:4">
      <c r="A210" s="17"/>
      <c r="C210" s="7"/>
      <c r="D210" s="6"/>
    </row>
    <row r="211" spans="1:4">
      <c r="A211" s="17"/>
      <c r="C211" s="7"/>
      <c r="D211" s="6"/>
    </row>
    <row r="212" spans="1:4">
      <c r="A212" s="17"/>
      <c r="C212" s="7"/>
      <c r="D212" s="6"/>
    </row>
    <row r="213" spans="1:4">
      <c r="A213" s="17"/>
      <c r="C213" s="7"/>
      <c r="D213" s="6"/>
    </row>
    <row r="214" spans="1:4">
      <c r="A214" s="17"/>
      <c r="C214" s="7"/>
      <c r="D214" s="6"/>
    </row>
    <row r="215" spans="1:4">
      <c r="A215" s="17"/>
      <c r="C215" s="7"/>
      <c r="D215" s="6"/>
    </row>
    <row r="216" spans="1:4">
      <c r="A216" s="17"/>
      <c r="C216" s="7"/>
      <c r="D216" s="6"/>
    </row>
    <row r="217" spans="1:4">
      <c r="A217" s="17"/>
      <c r="C217" s="7"/>
      <c r="D217" s="6"/>
    </row>
    <row r="218" spans="1:4">
      <c r="A218" s="17"/>
      <c r="C218" s="7"/>
      <c r="D218" s="6"/>
    </row>
    <row r="219" spans="1:4">
      <c r="A219" s="17"/>
      <c r="C219" s="7"/>
      <c r="D219" s="6"/>
    </row>
    <row r="220" spans="1:4">
      <c r="A220" s="17"/>
      <c r="C220" s="7"/>
      <c r="D220" s="6"/>
    </row>
    <row r="221" spans="1:4">
      <c r="A221" s="17"/>
    </row>
    <row r="222" spans="1:4">
      <c r="A222" s="17"/>
    </row>
    <row r="223" spans="1:4">
      <c r="A223" s="17"/>
    </row>
    <row r="224" spans="1:4">
      <c r="A224" s="17"/>
    </row>
    <row r="225" spans="1:1">
      <c r="A225" s="17"/>
    </row>
    <row r="226" spans="1:1">
      <c r="A226" s="17"/>
    </row>
    <row r="227" spans="1:1">
      <c r="A227" s="17"/>
    </row>
    <row r="228" spans="1:1">
      <c r="A228" s="17"/>
    </row>
    <row r="229" spans="1:1">
      <c r="A229" s="17"/>
    </row>
    <row r="230" spans="1:1">
      <c r="A230" s="17"/>
    </row>
    <row r="231" spans="1:1">
      <c r="A231" s="17"/>
    </row>
    <row r="232" spans="1:1">
      <c r="A232" s="17"/>
    </row>
    <row r="233" spans="1:1">
      <c r="A233" s="17"/>
    </row>
    <row r="234" spans="1:1">
      <c r="A234" s="17"/>
    </row>
    <row r="235" spans="1:1">
      <c r="A235" s="17"/>
    </row>
    <row r="236" spans="1:1">
      <c r="A236" s="17"/>
    </row>
    <row r="237" spans="1:1">
      <c r="A237" s="17"/>
    </row>
    <row r="238" spans="1:1">
      <c r="A238" s="17"/>
    </row>
    <row r="239" spans="1:1">
      <c r="A239" s="17"/>
    </row>
    <row r="240" spans="1:1">
      <c r="A240" s="17"/>
    </row>
    <row r="241" spans="1:1">
      <c r="A241" s="17"/>
    </row>
    <row r="242" spans="1:1">
      <c r="A242" s="17"/>
    </row>
    <row r="243" spans="1:1">
      <c r="A243" s="17"/>
    </row>
    <row r="244" spans="1:1">
      <c r="A244" s="17"/>
    </row>
    <row r="245" spans="1:1">
      <c r="A245" s="17"/>
    </row>
    <row r="246" spans="1:1">
      <c r="A246" s="17"/>
    </row>
    <row r="247" spans="1:1">
      <c r="A247" s="17"/>
    </row>
    <row r="248" spans="1:1">
      <c r="A248" s="17"/>
    </row>
    <row r="249" spans="1:1">
      <c r="A249" s="17"/>
    </row>
    <row r="250" spans="1:1">
      <c r="A250" s="17"/>
    </row>
    <row r="251" spans="1:1">
      <c r="A251" s="17"/>
    </row>
    <row r="252" spans="1:1">
      <c r="A252" s="17"/>
    </row>
    <row r="253" spans="1:1">
      <c r="A253" s="17"/>
    </row>
    <row r="254" spans="1:1">
      <c r="A254" s="17"/>
    </row>
    <row r="255" spans="1:1">
      <c r="A255" s="17"/>
    </row>
    <row r="256" spans="1:1">
      <c r="A256" s="17"/>
    </row>
    <row r="257" spans="1:1">
      <c r="A257" s="17"/>
    </row>
    <row r="258" spans="1:1">
      <c r="A258" s="17"/>
    </row>
    <row r="259" spans="1:1">
      <c r="A259" s="17"/>
    </row>
    <row r="260" spans="1:1">
      <c r="A260" s="17"/>
    </row>
    <row r="261" spans="1:1">
      <c r="A261" s="17"/>
    </row>
    <row r="262" spans="1:1">
      <c r="A262" s="17"/>
    </row>
    <row r="263" spans="1:1">
      <c r="A263" s="17"/>
    </row>
    <row r="264" spans="1:1">
      <c r="A264" s="17"/>
    </row>
    <row r="265" spans="1:1">
      <c r="A265" s="17"/>
    </row>
    <row r="266" spans="1:1">
      <c r="A266" s="17"/>
    </row>
    <row r="267" spans="1:1">
      <c r="A267" s="17"/>
    </row>
    <row r="268" spans="1:1">
      <c r="A268" s="17"/>
    </row>
    <row r="269" spans="1:1">
      <c r="A269" s="17"/>
    </row>
    <row r="270" spans="1:1">
      <c r="A270" s="17"/>
    </row>
    <row r="271" spans="1:1">
      <c r="A271" s="17"/>
    </row>
    <row r="272" spans="1:1">
      <c r="A272" s="17"/>
    </row>
    <row r="273" spans="1:1">
      <c r="A273" s="17"/>
    </row>
    <row r="274" spans="1:1">
      <c r="A274" s="17"/>
    </row>
    <row r="275" spans="1:1">
      <c r="A275" s="17"/>
    </row>
    <row r="276" spans="1:1">
      <c r="A276" s="17"/>
    </row>
    <row r="277" spans="1:1">
      <c r="A277" s="17"/>
    </row>
    <row r="278" spans="1:1">
      <c r="A278" s="17"/>
    </row>
    <row r="279" spans="1:1">
      <c r="A279" s="17"/>
    </row>
    <row r="280" spans="1:1">
      <c r="A280" s="17"/>
    </row>
    <row r="281" spans="1:1">
      <c r="A281" s="17"/>
    </row>
    <row r="282" spans="1:1">
      <c r="A282" s="17"/>
    </row>
    <row r="283" spans="1:1">
      <c r="A283" s="17"/>
    </row>
    <row r="284" spans="1:1">
      <c r="A284" s="17"/>
    </row>
    <row r="285" spans="1:1">
      <c r="A285" s="17"/>
    </row>
    <row r="286" spans="1:1">
      <c r="A286" s="17"/>
    </row>
    <row r="287" spans="1:1">
      <c r="A287" s="17"/>
    </row>
    <row r="288" spans="1:1">
      <c r="A288" s="17"/>
    </row>
    <row r="289" spans="1:1">
      <c r="A289" s="17"/>
    </row>
    <row r="290" spans="1:1">
      <c r="A290" s="17"/>
    </row>
    <row r="291" spans="1:1">
      <c r="A291" s="17"/>
    </row>
    <row r="292" spans="1:1">
      <c r="A292" s="17"/>
    </row>
    <row r="293" spans="1:1">
      <c r="A293" s="17"/>
    </row>
    <row r="294" spans="1:1">
      <c r="A294" s="17"/>
    </row>
    <row r="295" spans="1:1">
      <c r="A295" s="17"/>
    </row>
    <row r="296" spans="1:1">
      <c r="A296" s="17"/>
    </row>
    <row r="297" spans="1:1">
      <c r="A297" s="17"/>
    </row>
    <row r="298" spans="1:1">
      <c r="A298" s="17"/>
    </row>
    <row r="299" spans="1:1">
      <c r="A299" s="17"/>
    </row>
    <row r="300" spans="1:1">
      <c r="A300" s="17"/>
    </row>
    <row r="301" spans="1:1">
      <c r="A301" s="17"/>
    </row>
    <row r="302" spans="1:1">
      <c r="A302" s="17"/>
    </row>
    <row r="303" spans="1:1">
      <c r="A303" s="17"/>
    </row>
    <row r="304" spans="1:1">
      <c r="A304" s="17"/>
    </row>
    <row r="305" spans="1:1">
      <c r="A305" s="17"/>
    </row>
    <row r="306" spans="1:1">
      <c r="A306" s="17"/>
    </row>
    <row r="307" spans="1:1">
      <c r="A307" s="17"/>
    </row>
    <row r="308" spans="1:1">
      <c r="A308" s="17"/>
    </row>
    <row r="309" spans="1:1">
      <c r="A309" s="17"/>
    </row>
    <row r="310" spans="1:1">
      <c r="A310" s="17"/>
    </row>
    <row r="311" spans="1:1">
      <c r="A311" s="17"/>
    </row>
    <row r="312" spans="1:1">
      <c r="A312" s="17"/>
    </row>
    <row r="313" spans="1:1">
      <c r="A313" s="17"/>
    </row>
    <row r="314" spans="1:1">
      <c r="A314" s="17"/>
    </row>
    <row r="315" spans="1:1">
      <c r="A315" s="17"/>
    </row>
    <row r="316" spans="1:1">
      <c r="A316" s="17"/>
    </row>
    <row r="317" spans="1:1">
      <c r="A317" s="17"/>
    </row>
    <row r="318" spans="1:1">
      <c r="A318" s="17"/>
    </row>
    <row r="319" spans="1:1">
      <c r="A319" s="17"/>
    </row>
    <row r="320" spans="1:1">
      <c r="A320" s="17"/>
    </row>
    <row r="321" spans="1:1">
      <c r="A321" s="17"/>
    </row>
    <row r="322" spans="1:1">
      <c r="A322" s="17"/>
    </row>
    <row r="323" spans="1:1">
      <c r="A323" s="17"/>
    </row>
    <row r="324" spans="1:1">
      <c r="A324" s="17"/>
    </row>
    <row r="325" spans="1:1">
      <c r="A325" s="17"/>
    </row>
    <row r="326" spans="1:1">
      <c r="A326" s="17"/>
    </row>
    <row r="327" spans="1:1">
      <c r="A327" s="17"/>
    </row>
    <row r="328" spans="1:1">
      <c r="A328" s="17"/>
    </row>
    <row r="329" spans="1:1">
      <c r="A329" s="17"/>
    </row>
    <row r="330" spans="1:1">
      <c r="A330" s="17"/>
    </row>
    <row r="331" spans="1:1">
      <c r="A331" s="17"/>
    </row>
    <row r="332" spans="1:1">
      <c r="A332" s="17"/>
    </row>
    <row r="333" spans="1:1">
      <c r="A333" s="17"/>
    </row>
    <row r="334" spans="1:1">
      <c r="A334" s="17"/>
    </row>
    <row r="335" spans="1:1">
      <c r="A335" s="17"/>
    </row>
    <row r="336" spans="1:1">
      <c r="A336" s="17"/>
    </row>
    <row r="337" spans="1:1">
      <c r="A337" s="17"/>
    </row>
    <row r="338" spans="1:1">
      <c r="A338" s="17"/>
    </row>
    <row r="339" spans="1:1">
      <c r="A339" s="17"/>
    </row>
    <row r="340" spans="1:1">
      <c r="A340" s="17"/>
    </row>
    <row r="341" spans="1:1">
      <c r="A341" s="17"/>
    </row>
    <row r="342" spans="1:1">
      <c r="A342" s="17"/>
    </row>
    <row r="343" spans="1:1">
      <c r="A343" s="17"/>
    </row>
    <row r="344" spans="1:1">
      <c r="A344" s="17"/>
    </row>
    <row r="345" spans="1:1">
      <c r="A345" s="17"/>
    </row>
    <row r="346" spans="1:1">
      <c r="A346" s="17"/>
    </row>
    <row r="347" spans="1:1">
      <c r="A347" s="17"/>
    </row>
    <row r="348" spans="1:1">
      <c r="A348" s="17"/>
    </row>
    <row r="349" spans="1:1">
      <c r="A349" s="17"/>
    </row>
    <row r="350" spans="1:1">
      <c r="A350" s="17"/>
    </row>
    <row r="351" spans="1:1">
      <c r="A351" s="17"/>
    </row>
    <row r="352" spans="1:1">
      <c r="A352" s="17"/>
    </row>
    <row r="353" spans="1:1">
      <c r="A353" s="17"/>
    </row>
    <row r="354" spans="1:1">
      <c r="A354" s="17"/>
    </row>
    <row r="355" spans="1:1">
      <c r="A355" s="17"/>
    </row>
    <row r="356" spans="1:1">
      <c r="A356" s="17"/>
    </row>
    <row r="357" spans="1:1">
      <c r="A357" s="17"/>
    </row>
    <row r="358" spans="1:1">
      <c r="A358" s="17"/>
    </row>
    <row r="359" spans="1:1">
      <c r="A359" s="17"/>
    </row>
    <row r="360" spans="1:1">
      <c r="A360" s="17"/>
    </row>
    <row r="361" spans="1:1">
      <c r="A361" s="17"/>
    </row>
    <row r="362" spans="1:1">
      <c r="A362" s="17"/>
    </row>
    <row r="363" spans="1:1">
      <c r="A363" s="17"/>
    </row>
    <row r="364" spans="1:1">
      <c r="A364" s="17"/>
    </row>
    <row r="365" spans="1:1">
      <c r="A365" s="17"/>
    </row>
    <row r="366" spans="1:1">
      <c r="A366" s="17"/>
    </row>
    <row r="367" spans="1:1">
      <c r="A367" s="17"/>
    </row>
    <row r="368" spans="1:1">
      <c r="A368" s="17"/>
    </row>
    <row r="369" spans="1:1">
      <c r="A369" s="17"/>
    </row>
    <row r="370" spans="1:1">
      <c r="A370" s="17"/>
    </row>
    <row r="371" spans="1:1">
      <c r="A371" s="17"/>
    </row>
    <row r="372" spans="1:1">
      <c r="A372" s="17"/>
    </row>
    <row r="373" spans="1:1">
      <c r="A373" s="17"/>
    </row>
    <row r="374" spans="1:1">
      <c r="A374" s="17"/>
    </row>
    <row r="375" spans="1:1">
      <c r="A375" s="17"/>
    </row>
    <row r="376" spans="1:1">
      <c r="A376" s="17"/>
    </row>
    <row r="377" spans="1:1">
      <c r="A377" s="17"/>
    </row>
    <row r="378" spans="1:1">
      <c r="A378" s="17"/>
    </row>
    <row r="379" spans="1:1">
      <c r="A379" s="17"/>
    </row>
    <row r="380" spans="1:1">
      <c r="A380" s="17"/>
    </row>
    <row r="381" spans="1:1">
      <c r="A381" s="17"/>
    </row>
    <row r="382" spans="1:1">
      <c r="A382" s="17"/>
    </row>
    <row r="383" spans="1:1">
      <c r="A383" s="17"/>
    </row>
    <row r="384" spans="1:1">
      <c r="A384" s="17"/>
    </row>
    <row r="385" spans="1:1">
      <c r="A385" s="17"/>
    </row>
    <row r="386" spans="1:1">
      <c r="A386" s="17"/>
    </row>
    <row r="387" spans="1:1">
      <c r="A387" s="17"/>
    </row>
    <row r="388" spans="1:1">
      <c r="A388" s="17"/>
    </row>
    <row r="389" spans="1:1">
      <c r="A389" s="17"/>
    </row>
    <row r="390" spans="1:1">
      <c r="A390" s="17"/>
    </row>
    <row r="391" spans="1:1">
      <c r="A391" s="17"/>
    </row>
    <row r="392" spans="1:1">
      <c r="A392" s="17"/>
    </row>
    <row r="393" spans="1:1">
      <c r="A393" s="17"/>
    </row>
    <row r="394" spans="1:1">
      <c r="A394" s="17"/>
    </row>
    <row r="395" spans="1:1">
      <c r="A395" s="17"/>
    </row>
    <row r="396" spans="1:1">
      <c r="A396" s="17"/>
    </row>
    <row r="397" spans="1:1">
      <c r="A397" s="17"/>
    </row>
    <row r="398" spans="1:1">
      <c r="A398" s="17"/>
    </row>
    <row r="399" spans="1:1">
      <c r="A399" s="17"/>
    </row>
    <row r="400" spans="1:1">
      <c r="A400" s="17"/>
    </row>
    <row r="401" spans="1:1">
      <c r="A401" s="17"/>
    </row>
    <row r="402" spans="1:1">
      <c r="A402" s="17"/>
    </row>
    <row r="403" spans="1:1">
      <c r="A403" s="17"/>
    </row>
    <row r="404" spans="1:1">
      <c r="A404" s="17"/>
    </row>
    <row r="405" spans="1:1">
      <c r="A405" s="17"/>
    </row>
    <row r="406" spans="1:1">
      <c r="A406" s="17"/>
    </row>
    <row r="407" spans="1:1">
      <c r="A407" s="17"/>
    </row>
    <row r="408" spans="1:1">
      <c r="A408" s="17"/>
    </row>
    <row r="409" spans="1:1">
      <c r="A409" s="17"/>
    </row>
    <row r="410" spans="1:1">
      <c r="A410" s="17"/>
    </row>
    <row r="411" spans="1:1">
      <c r="A411" s="17"/>
    </row>
    <row r="412" spans="1:1">
      <c r="A412" s="17"/>
    </row>
    <row r="413" spans="1:1">
      <c r="A413" s="17"/>
    </row>
    <row r="414" spans="1:1">
      <c r="A414" s="17"/>
    </row>
    <row r="415" spans="1:1">
      <c r="A415" s="17"/>
    </row>
    <row r="416" spans="1:1">
      <c r="A416" s="17"/>
    </row>
    <row r="417" spans="1:1">
      <c r="A417" s="17"/>
    </row>
    <row r="418" spans="1:1">
      <c r="A418" s="17"/>
    </row>
    <row r="419" spans="1:1">
      <c r="A419" s="17"/>
    </row>
    <row r="420" spans="1:1">
      <c r="A420" s="17"/>
    </row>
    <row r="421" spans="1:1">
      <c r="A421" s="17"/>
    </row>
    <row r="422" spans="1:1">
      <c r="A422" s="17"/>
    </row>
    <row r="423" spans="1:1">
      <c r="A423" s="17"/>
    </row>
    <row r="424" spans="1:1">
      <c r="A424" s="17"/>
    </row>
    <row r="425" spans="1:1">
      <c r="A425" s="17"/>
    </row>
    <row r="426" spans="1:1">
      <c r="A426" s="17"/>
    </row>
    <row r="427" spans="1:1">
      <c r="A427" s="17"/>
    </row>
    <row r="428" spans="1:1">
      <c r="A428" s="17"/>
    </row>
    <row r="429" spans="1:1">
      <c r="A429" s="17"/>
    </row>
    <row r="430" spans="1:1">
      <c r="A430" s="17"/>
    </row>
    <row r="431" spans="1:1">
      <c r="A431" s="17"/>
    </row>
    <row r="432" spans="1:1">
      <c r="A432" s="17"/>
    </row>
    <row r="433" spans="1:1">
      <c r="A433" s="17"/>
    </row>
    <row r="434" spans="1:1">
      <c r="A434" s="17"/>
    </row>
    <row r="435" spans="1:1">
      <c r="A435" s="17"/>
    </row>
    <row r="436" spans="1:1">
      <c r="A436" s="17"/>
    </row>
    <row r="437" spans="1:1">
      <c r="A437" s="17"/>
    </row>
    <row r="438" spans="1:1">
      <c r="A438" s="17"/>
    </row>
    <row r="439" spans="1:1">
      <c r="A439" s="17"/>
    </row>
    <row r="440" spans="1:1">
      <c r="A440" s="17"/>
    </row>
    <row r="441" spans="1:1">
      <c r="A441" s="17"/>
    </row>
    <row r="442" spans="1:1">
      <c r="A442" s="17"/>
    </row>
    <row r="443" spans="1:1">
      <c r="A443" s="17"/>
    </row>
    <row r="444" spans="1:1">
      <c r="A444" s="17"/>
    </row>
    <row r="445" spans="1:1">
      <c r="A445" s="17"/>
    </row>
    <row r="446" spans="1:1">
      <c r="A446" s="17"/>
    </row>
    <row r="447" spans="1:1">
      <c r="A447" s="17"/>
    </row>
    <row r="448" spans="1:1">
      <c r="A448" s="17"/>
    </row>
    <row r="449" spans="1:1">
      <c r="A449" s="17"/>
    </row>
    <row r="450" spans="1:1">
      <c r="A450" s="17"/>
    </row>
    <row r="451" spans="1:1">
      <c r="A451" s="17"/>
    </row>
    <row r="452" spans="1:1">
      <c r="A452" s="17"/>
    </row>
    <row r="453" spans="1:1">
      <c r="A453" s="17"/>
    </row>
    <row r="454" spans="1:1">
      <c r="A454" s="17"/>
    </row>
    <row r="455" spans="1:1">
      <c r="A455" s="17"/>
    </row>
    <row r="456" spans="1:1">
      <c r="A456" s="17"/>
    </row>
    <row r="457" spans="1:1">
      <c r="A457" s="17"/>
    </row>
    <row r="458" spans="1:1">
      <c r="A458" s="17"/>
    </row>
    <row r="459" spans="1:1">
      <c r="A459" s="17"/>
    </row>
    <row r="460" spans="1:1">
      <c r="A460" s="17"/>
    </row>
    <row r="461" spans="1:1">
      <c r="A461" s="17"/>
    </row>
    <row r="462" spans="1:1">
      <c r="A462" s="17"/>
    </row>
    <row r="463" spans="1:1">
      <c r="A463" s="17"/>
    </row>
    <row r="464" spans="1:1">
      <c r="A464" s="17"/>
    </row>
    <row r="465" spans="1:1">
      <c r="A465" s="17"/>
    </row>
    <row r="466" spans="1:1">
      <c r="A466" s="17"/>
    </row>
    <row r="467" spans="1:1">
      <c r="A467" s="17"/>
    </row>
    <row r="468" spans="1:1">
      <c r="A468" s="17"/>
    </row>
    <row r="469" spans="1:1">
      <c r="A469" s="17"/>
    </row>
    <row r="470" spans="1:1">
      <c r="A470" s="17"/>
    </row>
    <row r="471" spans="1:1">
      <c r="A471" s="17"/>
    </row>
    <row r="472" spans="1:1">
      <c r="A472" s="17"/>
    </row>
    <row r="473" spans="1:1">
      <c r="A473" s="17"/>
    </row>
    <row r="474" spans="1:1">
      <c r="A474" s="17"/>
    </row>
    <row r="475" spans="1:1">
      <c r="A475" s="17"/>
    </row>
    <row r="476" spans="1:1">
      <c r="A476" s="17"/>
    </row>
    <row r="477" spans="1:1">
      <c r="A477" s="17"/>
    </row>
    <row r="478" spans="1:1">
      <c r="A478" s="17"/>
    </row>
    <row r="479" spans="1:1">
      <c r="A479" s="17"/>
    </row>
    <row r="480" spans="1:1">
      <c r="A480" s="17"/>
    </row>
    <row r="481" spans="1:1">
      <c r="A481" s="17"/>
    </row>
    <row r="482" spans="1:1">
      <c r="A482" s="17"/>
    </row>
    <row r="483" spans="1:1">
      <c r="A483" s="17"/>
    </row>
    <row r="484" spans="1:1">
      <c r="A484" s="17"/>
    </row>
    <row r="485" spans="1:1">
      <c r="A485" s="17"/>
    </row>
    <row r="486" spans="1:1">
      <c r="A486" s="17"/>
    </row>
    <row r="487" spans="1:1">
      <c r="A487" s="17"/>
    </row>
    <row r="488" spans="1:1">
      <c r="A488" s="17"/>
    </row>
    <row r="489" spans="1:1">
      <c r="A489" s="17"/>
    </row>
    <row r="490" spans="1:1">
      <c r="A490" s="17"/>
    </row>
    <row r="491" spans="1:1">
      <c r="A491" s="17"/>
    </row>
    <row r="492" spans="1:1">
      <c r="A492" s="17"/>
    </row>
    <row r="493" spans="1:1">
      <c r="A493" s="17"/>
    </row>
    <row r="494" spans="1:1">
      <c r="A494" s="17"/>
    </row>
    <row r="495" spans="1:1">
      <c r="A495" s="17"/>
    </row>
    <row r="496" spans="1:1">
      <c r="A496" s="17"/>
    </row>
    <row r="497" spans="1:1">
      <c r="A497" s="17"/>
    </row>
    <row r="498" spans="1:1">
      <c r="A498" s="17"/>
    </row>
    <row r="499" spans="1:1">
      <c r="A499" s="17"/>
    </row>
    <row r="500" spans="1:1">
      <c r="A500" s="17"/>
    </row>
    <row r="501" spans="1:1">
      <c r="A501" s="17"/>
    </row>
    <row r="502" spans="1:1">
      <c r="A502" s="17"/>
    </row>
    <row r="503" spans="1:1">
      <c r="A503" s="17"/>
    </row>
    <row r="504" spans="1:1">
      <c r="A504" s="17"/>
    </row>
    <row r="505" spans="1:1">
      <c r="A505" s="17"/>
    </row>
    <row r="506" spans="1:1">
      <c r="A506" s="17"/>
    </row>
    <row r="507" spans="1:1">
      <c r="A507" s="17"/>
    </row>
    <row r="508" spans="1:1">
      <c r="A508" s="17"/>
    </row>
    <row r="509" spans="1:1">
      <c r="A509" s="17"/>
    </row>
    <row r="510" spans="1:1">
      <c r="A510" s="17"/>
    </row>
    <row r="511" spans="1:1">
      <c r="A511" s="17"/>
    </row>
    <row r="512" spans="1:1">
      <c r="A512" s="17"/>
    </row>
    <row r="513" spans="1:1">
      <c r="A513" s="17"/>
    </row>
    <row r="514" spans="1:1">
      <c r="A514" s="17"/>
    </row>
    <row r="515" spans="1:1">
      <c r="A515" s="17"/>
    </row>
    <row r="516" spans="1:1">
      <c r="A516" s="17"/>
    </row>
    <row r="517" spans="1:1">
      <c r="A517" s="17"/>
    </row>
    <row r="518" spans="1:1">
      <c r="A518" s="17"/>
    </row>
    <row r="519" spans="1:1">
      <c r="A519" s="17"/>
    </row>
    <row r="520" spans="1:1">
      <c r="A520" s="17"/>
    </row>
    <row r="521" spans="1:1">
      <c r="A521" s="17"/>
    </row>
    <row r="522" spans="1:1">
      <c r="A522" s="17"/>
    </row>
    <row r="523" spans="1:1">
      <c r="A523" s="17"/>
    </row>
    <row r="524" spans="1:1">
      <c r="A524" s="17"/>
    </row>
    <row r="525" spans="1:1">
      <c r="A525" s="17"/>
    </row>
    <row r="526" spans="1:1">
      <c r="A526" s="17"/>
    </row>
    <row r="527" spans="1:1">
      <c r="A527" s="17"/>
    </row>
    <row r="528" spans="1:1">
      <c r="A528" s="17"/>
    </row>
    <row r="529" spans="1:1">
      <c r="A529" s="17"/>
    </row>
    <row r="530" spans="1:1">
      <c r="A530" s="17"/>
    </row>
    <row r="531" spans="1:1">
      <c r="A531" s="17"/>
    </row>
    <row r="532" spans="1:1">
      <c r="A532" s="17"/>
    </row>
    <row r="533" spans="1:1">
      <c r="A533" s="17"/>
    </row>
    <row r="534" spans="1:1">
      <c r="A534" s="17"/>
    </row>
    <row r="535" spans="1:1">
      <c r="A535" s="17"/>
    </row>
    <row r="536" spans="1:1">
      <c r="A536" s="17"/>
    </row>
    <row r="537" spans="1:1">
      <c r="A537" s="17"/>
    </row>
    <row r="538" spans="1:1">
      <c r="A538" s="17"/>
    </row>
    <row r="539" spans="1:1">
      <c r="A539" s="17"/>
    </row>
    <row r="540" spans="1:1">
      <c r="A540" s="17"/>
    </row>
    <row r="541" spans="1:1">
      <c r="A541" s="17"/>
    </row>
    <row r="542" spans="1:1">
      <c r="A542" s="17"/>
    </row>
    <row r="543" spans="1:1">
      <c r="A543" s="17"/>
    </row>
    <row r="544" spans="1:1">
      <c r="A544" s="17"/>
    </row>
    <row r="545" spans="1:1">
      <c r="A545" s="17"/>
    </row>
    <row r="546" spans="1:1">
      <c r="A546" s="17"/>
    </row>
    <row r="547" spans="1:1">
      <c r="A547" s="17"/>
    </row>
    <row r="548" spans="1:1">
      <c r="A548" s="17"/>
    </row>
    <row r="549" spans="1:1">
      <c r="A549" s="17"/>
    </row>
    <row r="550" spans="1:1">
      <c r="A550" s="17"/>
    </row>
    <row r="551" spans="1:1">
      <c r="A551" s="17"/>
    </row>
    <row r="552" spans="1:1">
      <c r="A552" s="17"/>
    </row>
    <row r="553" spans="1:1">
      <c r="A553" s="17"/>
    </row>
    <row r="554" spans="1:1">
      <c r="A554" s="17"/>
    </row>
    <row r="555" spans="1:1">
      <c r="A555" s="17"/>
    </row>
    <row r="556" spans="1:1">
      <c r="A556" s="17"/>
    </row>
    <row r="557" spans="1:1">
      <c r="A557" s="17"/>
    </row>
    <row r="558" spans="1:1">
      <c r="A558" s="17"/>
    </row>
    <row r="559" spans="1:1">
      <c r="A559" s="17"/>
    </row>
    <row r="560" spans="1:1">
      <c r="A560" s="17"/>
    </row>
    <row r="561" spans="1:1">
      <c r="A561" s="17"/>
    </row>
    <row r="562" spans="1:1">
      <c r="A562" s="17"/>
    </row>
    <row r="563" spans="1:1">
      <c r="A563" s="17"/>
    </row>
    <row r="564" spans="1:1">
      <c r="A564" s="17"/>
    </row>
    <row r="565" spans="1:1">
      <c r="A565" s="17"/>
    </row>
    <row r="566" spans="1:1">
      <c r="A566" s="17"/>
    </row>
    <row r="567" spans="1:1">
      <c r="A567" s="17"/>
    </row>
    <row r="568" spans="1:1">
      <c r="A568" s="17"/>
    </row>
    <row r="569" spans="1:1">
      <c r="A569" s="17"/>
    </row>
    <row r="570" spans="1:1">
      <c r="A570" s="17"/>
    </row>
    <row r="571" spans="1:1">
      <c r="A571" s="17"/>
    </row>
    <row r="572" spans="1:1">
      <c r="A572" s="17"/>
    </row>
    <row r="573" spans="1:1">
      <c r="A573" s="17"/>
    </row>
    <row r="574" spans="1:1">
      <c r="A574" s="17"/>
    </row>
    <row r="575" spans="1:1">
      <c r="A575" s="17"/>
    </row>
    <row r="576" spans="1:1">
      <c r="A576" s="17"/>
    </row>
    <row r="577" spans="1:1">
      <c r="A577" s="17"/>
    </row>
    <row r="578" spans="1:1">
      <c r="A578" s="17"/>
    </row>
    <row r="579" spans="1:1">
      <c r="A579" s="17"/>
    </row>
    <row r="580" spans="1:1">
      <c r="A580" s="17"/>
    </row>
    <row r="581" spans="1:1">
      <c r="A581" s="17"/>
    </row>
    <row r="582" spans="1:1">
      <c r="A582" s="17"/>
    </row>
    <row r="583" spans="1:1">
      <c r="A583" s="17"/>
    </row>
    <row r="584" spans="1:1">
      <c r="A584" s="17"/>
    </row>
    <row r="585" spans="1:1">
      <c r="A585" s="17"/>
    </row>
    <row r="586" spans="1:1">
      <c r="A586" s="17"/>
    </row>
    <row r="587" spans="1:1">
      <c r="A587" s="17"/>
    </row>
    <row r="588" spans="1:1">
      <c r="A588" s="17"/>
    </row>
    <row r="589" spans="1:1">
      <c r="A589" s="17"/>
    </row>
    <row r="590" spans="1:1">
      <c r="A590" s="17"/>
    </row>
    <row r="591" spans="1:1">
      <c r="A591" s="17"/>
    </row>
    <row r="592" spans="1:1">
      <c r="A592" s="17"/>
    </row>
    <row r="593" spans="1:1">
      <c r="A593" s="17"/>
    </row>
    <row r="594" spans="1:1">
      <c r="A594" s="17"/>
    </row>
    <row r="595" spans="1:1">
      <c r="A595" s="17"/>
    </row>
    <row r="596" spans="1:1">
      <c r="A596" s="17"/>
    </row>
    <row r="597" spans="1:1">
      <c r="A597" s="17"/>
    </row>
    <row r="598" spans="1:1">
      <c r="A598" s="17"/>
    </row>
    <row r="599" spans="1:1">
      <c r="A599" s="17"/>
    </row>
    <row r="600" spans="1:1">
      <c r="A600" s="17"/>
    </row>
    <row r="601" spans="1:1">
      <c r="A601" s="17"/>
    </row>
    <row r="602" spans="1:1">
      <c r="A602" s="17"/>
    </row>
    <row r="603" spans="1:1">
      <c r="A603" s="17"/>
    </row>
    <row r="604" spans="1:1">
      <c r="A604" s="17"/>
    </row>
    <row r="605" spans="1:1">
      <c r="A605" s="17"/>
    </row>
    <row r="606" spans="1:1">
      <c r="A606" s="17"/>
    </row>
    <row r="607" spans="1:1">
      <c r="A607" s="17"/>
    </row>
    <row r="608" spans="1:1">
      <c r="A608" s="17"/>
    </row>
    <row r="609" spans="1:1">
      <c r="A609" s="17"/>
    </row>
    <row r="610" spans="1:1">
      <c r="A610" s="17"/>
    </row>
    <row r="611" spans="1:1">
      <c r="A611" s="17"/>
    </row>
    <row r="612" spans="1:1">
      <c r="A612" s="17"/>
    </row>
    <row r="613" spans="1:1">
      <c r="A613" s="17"/>
    </row>
    <row r="614" spans="1:1">
      <c r="A614" s="17"/>
    </row>
    <row r="615" spans="1:1">
      <c r="A615" s="17"/>
    </row>
    <row r="616" spans="1:1">
      <c r="A616" s="17"/>
    </row>
    <row r="617" spans="1:1">
      <c r="A617" s="17"/>
    </row>
    <row r="618" spans="1:1">
      <c r="A618" s="17"/>
    </row>
    <row r="619" spans="1:1">
      <c r="A619" s="17"/>
    </row>
    <row r="620" spans="1:1">
      <c r="A620" s="17"/>
    </row>
    <row r="621" spans="1:1">
      <c r="A621" s="17"/>
    </row>
    <row r="622" spans="1:1">
      <c r="A622" s="17"/>
    </row>
    <row r="623" spans="1:1">
      <c r="A623" s="17"/>
    </row>
    <row r="624" spans="1:1">
      <c r="A624" s="17"/>
    </row>
    <row r="625" spans="1:1">
      <c r="A625" s="17"/>
    </row>
    <row r="626" spans="1:1">
      <c r="A626" s="17"/>
    </row>
    <row r="627" spans="1:1">
      <c r="A627" s="17"/>
    </row>
    <row r="628" spans="1:1">
      <c r="A628" s="17"/>
    </row>
    <row r="629" spans="1:1">
      <c r="A629" s="17"/>
    </row>
    <row r="630" spans="1:1">
      <c r="A630" s="17"/>
    </row>
    <row r="631" spans="1:1">
      <c r="A631" s="17"/>
    </row>
    <row r="632" spans="1:1">
      <c r="A632" s="17"/>
    </row>
    <row r="633" spans="1:1">
      <c r="A633" s="17"/>
    </row>
    <row r="634" spans="1:1">
      <c r="A634" s="17"/>
    </row>
    <row r="635" spans="1:1">
      <c r="A635" s="17"/>
    </row>
    <row r="636" spans="1:1">
      <c r="A636" s="17"/>
    </row>
    <row r="637" spans="1:1">
      <c r="A637" s="17"/>
    </row>
    <row r="638" spans="1:1">
      <c r="A638" s="17"/>
    </row>
    <row r="639" spans="1:1">
      <c r="A639" s="17"/>
    </row>
    <row r="640" spans="1:1">
      <c r="A640" s="17"/>
    </row>
    <row r="641" spans="1:1">
      <c r="A641" s="17"/>
    </row>
    <row r="642" spans="1:1">
      <c r="A642" s="17"/>
    </row>
    <row r="643" spans="1:1">
      <c r="A643" s="17"/>
    </row>
    <row r="644" spans="1:1">
      <c r="A644" s="17"/>
    </row>
    <row r="645" spans="1:1">
      <c r="A645" s="17"/>
    </row>
    <row r="646" spans="1:1">
      <c r="A646" s="17"/>
    </row>
    <row r="647" spans="1:1">
      <c r="A647" s="17"/>
    </row>
    <row r="648" spans="1:1">
      <c r="A648" s="17"/>
    </row>
    <row r="649" spans="1:1">
      <c r="A649" s="17"/>
    </row>
    <row r="650" spans="1:1">
      <c r="A650" s="17"/>
    </row>
    <row r="651" spans="1:1">
      <c r="A651" s="17"/>
    </row>
    <row r="652" spans="1:1">
      <c r="A652" s="17"/>
    </row>
    <row r="653" spans="1:1">
      <c r="A653" s="17"/>
    </row>
    <row r="654" spans="1:1">
      <c r="A654" s="17"/>
    </row>
    <row r="655" spans="1:1">
      <c r="A655" s="17"/>
    </row>
    <row r="656" spans="1:1">
      <c r="A656" s="17"/>
    </row>
    <row r="657" spans="1:1">
      <c r="A657" s="17"/>
    </row>
    <row r="658" spans="1:1">
      <c r="A658" s="17"/>
    </row>
    <row r="659" spans="1:1">
      <c r="A659" s="17"/>
    </row>
    <row r="660" spans="1:1">
      <c r="A660" s="17"/>
    </row>
    <row r="661" spans="1:1">
      <c r="A661" s="17"/>
    </row>
    <row r="662" spans="1:1">
      <c r="A662" s="17"/>
    </row>
    <row r="663" spans="1:1">
      <c r="A663" s="17"/>
    </row>
    <row r="664" spans="1:1">
      <c r="A664" s="17"/>
    </row>
    <row r="665" spans="1:1">
      <c r="A665" s="17"/>
    </row>
    <row r="666" spans="1:1">
      <c r="A666" s="17"/>
    </row>
    <row r="667" spans="1:1">
      <c r="A667" s="17"/>
    </row>
    <row r="668" spans="1:1">
      <c r="A668" s="17"/>
    </row>
    <row r="669" spans="1:1">
      <c r="A669" s="17"/>
    </row>
    <row r="670" spans="1:1">
      <c r="A670" s="17"/>
    </row>
    <row r="671" spans="1:1">
      <c r="A671" s="17"/>
    </row>
    <row r="672" spans="1:1">
      <c r="A672" s="17"/>
    </row>
    <row r="673" spans="1:1">
      <c r="A673" s="17"/>
    </row>
    <row r="674" spans="1:1">
      <c r="A674" s="17"/>
    </row>
    <row r="675" spans="1:1">
      <c r="A675" s="17"/>
    </row>
    <row r="676" spans="1:1">
      <c r="A676" s="17"/>
    </row>
    <row r="677" spans="1:1">
      <c r="A677" s="17"/>
    </row>
    <row r="678" spans="1:1">
      <c r="A678" s="17"/>
    </row>
    <row r="679" spans="1:1">
      <c r="A679" s="17"/>
    </row>
    <row r="680" spans="1:1">
      <c r="A680" s="17"/>
    </row>
    <row r="681" spans="1:1">
      <c r="A681" s="17"/>
    </row>
    <row r="682" spans="1:1">
      <c r="A682" s="17"/>
    </row>
    <row r="683" spans="1:1">
      <c r="A683" s="17"/>
    </row>
    <row r="684" spans="1:1">
      <c r="A684" s="17"/>
    </row>
    <row r="685" spans="1:1">
      <c r="A685" s="17"/>
    </row>
    <row r="686" spans="1:1">
      <c r="A686" s="17"/>
    </row>
    <row r="687" spans="1:1">
      <c r="A687" s="17"/>
    </row>
    <row r="688" spans="1:1">
      <c r="A688" s="17"/>
    </row>
    <row r="689" spans="1:1">
      <c r="A689" s="17"/>
    </row>
    <row r="690" spans="1:1">
      <c r="A690" s="17"/>
    </row>
    <row r="691" spans="1:1">
      <c r="A691" s="17"/>
    </row>
    <row r="692" spans="1:1">
      <c r="A692" s="17"/>
    </row>
    <row r="693" spans="1:1">
      <c r="A693" s="17"/>
    </row>
    <row r="694" spans="1:1">
      <c r="A694" s="17"/>
    </row>
    <row r="695" spans="1:1">
      <c r="A695" s="17"/>
    </row>
    <row r="696" spans="1:1">
      <c r="A696" s="17"/>
    </row>
    <row r="697" spans="1:1">
      <c r="A697" s="17"/>
    </row>
    <row r="698" spans="1:1">
      <c r="A698" s="17"/>
    </row>
    <row r="699" spans="1:1">
      <c r="A699" s="17"/>
    </row>
    <row r="700" spans="1:1">
      <c r="A700" s="17"/>
    </row>
    <row r="701" spans="1:1">
      <c r="A701" s="17"/>
    </row>
    <row r="702" spans="1:1">
      <c r="A702" s="17"/>
    </row>
    <row r="703" spans="1:1">
      <c r="A703" s="17"/>
    </row>
    <row r="704" spans="1:1">
      <c r="A704" s="17"/>
    </row>
    <row r="705" spans="1:1">
      <c r="A705" s="17"/>
    </row>
    <row r="706" spans="1:1">
      <c r="A706" s="17"/>
    </row>
    <row r="707" spans="1:1">
      <c r="A707" s="17"/>
    </row>
    <row r="708" spans="1:1">
      <c r="A708" s="17"/>
    </row>
    <row r="709" spans="1:1">
      <c r="A709" s="17"/>
    </row>
    <row r="710" spans="1:1">
      <c r="A710" s="17"/>
    </row>
    <row r="711" spans="1:1">
      <c r="A711" s="17"/>
    </row>
    <row r="712" spans="1:1">
      <c r="A712" s="17"/>
    </row>
    <row r="713" spans="1:1">
      <c r="A713" s="17"/>
    </row>
    <row r="714" spans="1:1">
      <c r="A714" s="17"/>
    </row>
    <row r="715" spans="1:1">
      <c r="A715" s="17"/>
    </row>
    <row r="716" spans="1:1">
      <c r="A716" s="17"/>
    </row>
    <row r="717" spans="1:1">
      <c r="A717" s="17"/>
    </row>
    <row r="718" spans="1:1">
      <c r="A718" s="17"/>
    </row>
    <row r="719" spans="1:1">
      <c r="A719" s="17"/>
    </row>
    <row r="720" spans="1:1">
      <c r="A720" s="17"/>
    </row>
    <row r="721" spans="1:1">
      <c r="A721" s="17"/>
    </row>
    <row r="722" spans="1:1">
      <c r="A722" s="17"/>
    </row>
    <row r="723" spans="1:1">
      <c r="A723" s="17"/>
    </row>
    <row r="724" spans="1:1">
      <c r="A724" s="17"/>
    </row>
    <row r="725" spans="1:1">
      <c r="A725" s="17"/>
    </row>
    <row r="726" spans="1:1">
      <c r="A726" s="17"/>
    </row>
    <row r="727" spans="1:1">
      <c r="A727" s="17"/>
    </row>
    <row r="728" spans="1:1">
      <c r="A728" s="17"/>
    </row>
    <row r="729" spans="1:1">
      <c r="A729" s="17"/>
    </row>
    <row r="730" spans="1:1">
      <c r="A730" s="17"/>
    </row>
    <row r="731" spans="1:1">
      <c r="A731" s="17"/>
    </row>
    <row r="732" spans="1:1">
      <c r="A732" s="17"/>
    </row>
    <row r="733" spans="1:1">
      <c r="A733" s="17"/>
    </row>
    <row r="734" spans="1:1">
      <c r="A734" s="17"/>
    </row>
    <row r="735" spans="1:1">
      <c r="A735" s="17"/>
    </row>
    <row r="736" spans="1:1">
      <c r="A736" s="17"/>
    </row>
    <row r="737" spans="1:1">
      <c r="A737" s="17"/>
    </row>
    <row r="738" spans="1:1">
      <c r="A738" s="17"/>
    </row>
    <row r="739" spans="1:1">
      <c r="A739" s="17"/>
    </row>
    <row r="740" spans="1:1">
      <c r="A740" s="17"/>
    </row>
    <row r="741" spans="1:1">
      <c r="A741" s="17"/>
    </row>
    <row r="742" spans="1:1">
      <c r="A742" s="17"/>
    </row>
    <row r="743" spans="1:1">
      <c r="A743" s="17"/>
    </row>
    <row r="744" spans="1:1">
      <c r="A744" s="17"/>
    </row>
    <row r="745" spans="1:1">
      <c r="A745" s="17"/>
    </row>
    <row r="746" spans="1:1">
      <c r="A746" s="17"/>
    </row>
    <row r="747" spans="1:1">
      <c r="A747" s="17"/>
    </row>
    <row r="748" spans="1:1">
      <c r="A748" s="17"/>
    </row>
    <row r="749" spans="1:1">
      <c r="A749" s="17"/>
    </row>
    <row r="750" spans="1:1">
      <c r="A750" s="17"/>
    </row>
    <row r="751" spans="1:1">
      <c r="A751" s="17"/>
    </row>
    <row r="752" spans="1:1">
      <c r="A752" s="17"/>
    </row>
    <row r="753" spans="1:1">
      <c r="A753" s="17"/>
    </row>
    <row r="754" spans="1:1">
      <c r="A754" s="17"/>
    </row>
    <row r="755" spans="1:1">
      <c r="A755" s="17"/>
    </row>
    <row r="756" spans="1:1">
      <c r="A756" s="17"/>
    </row>
    <row r="757" spans="1:1">
      <c r="A757" s="17"/>
    </row>
    <row r="758" spans="1:1">
      <c r="A758" s="17"/>
    </row>
    <row r="759" spans="1:1">
      <c r="A759" s="17"/>
    </row>
    <row r="760" spans="1:1">
      <c r="A760" s="17"/>
    </row>
    <row r="761" spans="1:1">
      <c r="A761" s="17"/>
    </row>
    <row r="762" spans="1:1">
      <c r="A762" s="17"/>
    </row>
    <row r="763" spans="1:1">
      <c r="A763" s="17"/>
    </row>
    <row r="764" spans="1:1">
      <c r="A764" s="17"/>
    </row>
    <row r="765" spans="1:1">
      <c r="A765" s="17"/>
    </row>
    <row r="766" spans="1:1">
      <c r="A766" s="17"/>
    </row>
    <row r="767" spans="1:1">
      <c r="A767" s="17"/>
    </row>
    <row r="768" spans="1:1">
      <c r="A768" s="17"/>
    </row>
    <row r="769" spans="1:1">
      <c r="A769" s="17"/>
    </row>
    <row r="770" spans="1:1">
      <c r="A770" s="17"/>
    </row>
    <row r="771" spans="1:1">
      <c r="A771" s="17"/>
    </row>
    <row r="772" spans="1:1">
      <c r="A772" s="17"/>
    </row>
    <row r="773" spans="1:1">
      <c r="A773" s="17"/>
    </row>
    <row r="774" spans="1:1">
      <c r="A774" s="17"/>
    </row>
  </sheetData>
  <sortState ref="A20:U175">
    <sortCondition descending="1" ref="J21"/>
  </sortState>
  <mergeCells count="1">
    <mergeCell ref="A18:V18"/>
  </mergeCells>
  <phoneticPr fontId="2" type="noConversion"/>
  <dataValidations count="1">
    <dataValidation type="list" allowBlank="1" showInputMessage="1" showErrorMessage="1" sqref="J1">
      <formula1>"QQ粘贴并回车.vbs,发QQ消息可用.vbs"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多脚本_执行所在行">
                <anchor>
                  <from>
                    <xdr:col>11</xdr:col>
                    <xdr:colOff>752475</xdr:colOff>
                    <xdr:row>0</xdr:row>
                    <xdr:rowOff>0</xdr:rowOff>
                  </from>
                  <to>
                    <xdr:col>13</xdr:col>
                    <xdr:colOff>47625</xdr:colOff>
                    <xdr:row>17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5" name="Button 8">
              <controlPr defaultSize="0" print="0" autoFill="0" autoPict="0" macro="[0]!结束VBS">
                <anchor moveWithCells="1" sizeWithCells="1">
                  <from>
                    <xdr:col>15</xdr:col>
                    <xdr:colOff>238125</xdr:colOff>
                    <xdr:row>17</xdr:row>
                    <xdr:rowOff>47625</xdr:rowOff>
                  </from>
                  <to>
                    <xdr:col>16</xdr:col>
                    <xdr:colOff>466725</xdr:colOff>
                    <xdr:row>17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6" name="Button 17">
              <controlPr defaultSize="0" print="0" autoFill="0" autoPict="0" macro="[0]!多脚本_生成所在行脚本并打开">
                <anchor>
                  <from>
                    <xdr:col>13</xdr:col>
                    <xdr:colOff>752475</xdr:colOff>
                    <xdr:row>0</xdr:row>
                    <xdr:rowOff>0</xdr:rowOff>
                  </from>
                  <to>
                    <xdr:col>14</xdr:col>
                    <xdr:colOff>714375</xdr:colOff>
                    <xdr:row>17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常用代码!$A:$A</xm:f>
          </x14:formula1>
          <xm:sqref>A1 I21:I31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D30"/>
  <sheetViews>
    <sheetView workbookViewId="0">
      <selection activeCell="C16" sqref="B1:C16"/>
    </sheetView>
  </sheetViews>
  <sheetFormatPr defaultColWidth="8.875" defaultRowHeight="13.5"/>
  <cols>
    <col min="1" max="1" width="9.375" style="5" customWidth="1"/>
    <col min="2" max="2" width="15.125" style="5" customWidth="1"/>
    <col min="3" max="3" width="17.125" style="5" customWidth="1"/>
    <col min="4" max="5" width="8.875" style="5"/>
    <col min="6" max="6" width="20.125" style="5" customWidth="1"/>
    <col min="7" max="16384" width="8.875" style="5"/>
  </cols>
  <sheetData>
    <row r="1" spans="1:4">
      <c r="A1" s="5" t="s">
        <v>37</v>
      </c>
      <c r="D1" s="18"/>
    </row>
    <row r="2" spans="1:4">
      <c r="A2" s="5" t="s">
        <v>38</v>
      </c>
      <c r="D2" s="20"/>
    </row>
    <row r="3" spans="1:4">
      <c r="A3" s="5" t="s">
        <v>39</v>
      </c>
      <c r="D3" s="19"/>
    </row>
    <row r="4" spans="1:4">
      <c r="A4" s="5" t="s">
        <v>40</v>
      </c>
      <c r="D4" s="19"/>
    </row>
    <row r="5" spans="1:4">
      <c r="A5" s="5" t="s">
        <v>41</v>
      </c>
      <c r="D5" s="21"/>
    </row>
    <row r="6" spans="1:4">
      <c r="A6" s="5" t="s">
        <v>42</v>
      </c>
    </row>
    <row r="7" spans="1:4">
      <c r="A7" s="5" t="s">
        <v>43</v>
      </c>
    </row>
    <row r="8" spans="1:4">
      <c r="A8" s="5" t="s">
        <v>44</v>
      </c>
    </row>
    <row r="9" spans="1:4">
      <c r="A9" s="5" t="s">
        <v>45</v>
      </c>
    </row>
    <row r="10" spans="1:4">
      <c r="A10" s="5" t="s">
        <v>46</v>
      </c>
    </row>
    <row r="11" spans="1:4">
      <c r="A11" s="5" t="s">
        <v>47</v>
      </c>
    </row>
    <row r="12" spans="1:4">
      <c r="A12" s="5" t="s">
        <v>48</v>
      </c>
    </row>
    <row r="13" spans="1:4">
      <c r="A13" s="5" t="s">
        <v>49</v>
      </c>
    </row>
    <row r="14" spans="1:4">
      <c r="A14" s="5" t="s">
        <v>50</v>
      </c>
    </row>
    <row r="15" spans="1:4">
      <c r="A15" s="5" t="s">
        <v>51</v>
      </c>
    </row>
    <row r="16" spans="1:4">
      <c r="A16" s="5" t="s">
        <v>52</v>
      </c>
    </row>
    <row r="17" spans="1:1">
      <c r="A17" s="5" t="s">
        <v>53</v>
      </c>
    </row>
    <row r="18" spans="1:1">
      <c r="A18" s="5" t="s">
        <v>54</v>
      </c>
    </row>
    <row r="19" spans="1:1">
      <c r="A19" s="5" t="s">
        <v>55</v>
      </c>
    </row>
    <row r="20" spans="1:1">
      <c r="A20" s="5" t="s">
        <v>56</v>
      </c>
    </row>
    <row r="21" spans="1:1">
      <c r="A21" s="5" t="s">
        <v>57</v>
      </c>
    </row>
    <row r="22" spans="1:1">
      <c r="A22" s="5" t="s">
        <v>58</v>
      </c>
    </row>
    <row r="23" spans="1:1">
      <c r="A23" s="5" t="s">
        <v>59</v>
      </c>
    </row>
    <row r="24" spans="1:1">
      <c r="A24" s="5" t="s">
        <v>60</v>
      </c>
    </row>
    <row r="25" spans="1:1">
      <c r="A25" s="5" t="s">
        <v>61</v>
      </c>
    </row>
    <row r="26" spans="1:1">
      <c r="A26" s="5" t="s">
        <v>62</v>
      </c>
    </row>
    <row r="27" spans="1:1">
      <c r="A27" s="5" t="s">
        <v>63</v>
      </c>
    </row>
    <row r="28" spans="1:1">
      <c r="A28" s="5" t="s">
        <v>64</v>
      </c>
    </row>
    <row r="29" spans="1:1">
      <c r="A29" s="5" t="s">
        <v>65</v>
      </c>
    </row>
    <row r="30" spans="1:1">
      <c r="A30" s="5" t="s">
        <v>66</v>
      </c>
    </row>
  </sheetData>
  <phoneticPr fontId="2" type="noConversion"/>
  <conditionalFormatting sqref="D1">
    <cfRule type="containsText" dxfId="0" priority="5" operator="containsText" text=" ">
      <formula>NOT(ISERROR(SEARCH(" ",D1)))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9"/>
  <sheetViews>
    <sheetView topLeftCell="A7" workbookViewId="0">
      <selection activeCell="B12" sqref="B12"/>
    </sheetView>
  </sheetViews>
  <sheetFormatPr defaultRowHeight="13.5"/>
  <cols>
    <col min="1" max="1" width="29.875" customWidth="1"/>
    <col min="2" max="2" width="68.5" customWidth="1"/>
    <col min="5" max="5" width="27.125" customWidth="1"/>
  </cols>
  <sheetData>
    <row r="1" spans="1:9">
      <c r="A1" t="s">
        <v>14</v>
      </c>
      <c r="B1" t="s">
        <v>15</v>
      </c>
      <c r="C1" t="s">
        <v>16</v>
      </c>
      <c r="D1" t="s">
        <v>17</v>
      </c>
      <c r="E1" t="s">
        <v>93</v>
      </c>
      <c r="F1" t="s">
        <v>83</v>
      </c>
      <c r="G1" t="s">
        <v>19</v>
      </c>
      <c r="H1" s="5" t="s">
        <v>20</v>
      </c>
      <c r="I1" s="5" t="s">
        <v>21</v>
      </c>
    </row>
    <row r="2" spans="1:9" ht="122.25" customHeight="1">
      <c r="A2" t="s">
        <v>23</v>
      </c>
      <c r="B2" s="8" t="s">
        <v>94</v>
      </c>
      <c r="D2" s="5"/>
      <c r="E2" s="11"/>
      <c r="G2" s="5"/>
      <c r="I2" s="5"/>
    </row>
    <row r="3" spans="1:9" ht="96" customHeight="1">
      <c r="A3" t="s">
        <v>35</v>
      </c>
      <c r="B3" s="8" t="s">
        <v>98</v>
      </c>
      <c r="C3" s="11"/>
      <c r="D3" s="5"/>
      <c r="G3" s="5"/>
      <c r="I3" s="5"/>
    </row>
    <row r="4" spans="1:9" s="5" customFormat="1" ht="122.25" customHeight="1">
      <c r="A4" s="5" t="s">
        <v>92</v>
      </c>
      <c r="B4" s="8" t="s">
        <v>95</v>
      </c>
      <c r="E4" s="11" t="s">
        <v>28</v>
      </c>
    </row>
    <row r="5" spans="1:9" ht="117.75" customHeight="1">
      <c r="A5" t="s">
        <v>36</v>
      </c>
      <c r="B5" s="8" t="s">
        <v>108</v>
      </c>
      <c r="C5" s="5"/>
      <c r="D5" s="5"/>
      <c r="G5" s="5"/>
      <c r="I5" s="5"/>
    </row>
    <row r="6" spans="1:9" s="5" customFormat="1" ht="117.75" customHeight="1">
      <c r="A6" s="5" t="s">
        <v>67</v>
      </c>
      <c r="B6" s="8" t="s">
        <v>109</v>
      </c>
    </row>
    <row r="7" spans="1:9" ht="22.15" customHeight="1">
      <c r="A7" s="5" t="s">
        <v>76</v>
      </c>
      <c r="B7" s="8" t="s">
        <v>96</v>
      </c>
      <c r="C7" s="11"/>
      <c r="D7" s="5"/>
      <c r="G7" s="5"/>
      <c r="I7" s="5"/>
    </row>
    <row r="8" spans="1:9" ht="22.15" customHeight="1">
      <c r="A8" s="5" t="s">
        <v>79</v>
      </c>
      <c r="B8" s="12" t="s">
        <v>80</v>
      </c>
      <c r="C8" s="11"/>
      <c r="D8" s="5"/>
      <c r="G8" s="5"/>
      <c r="I8" s="5"/>
    </row>
    <row r="9" spans="1:9" ht="22.15" customHeight="1">
      <c r="B9" s="8"/>
      <c r="C9" s="11"/>
      <c r="G9" s="5"/>
      <c r="I9" s="5"/>
    </row>
    <row r="10" spans="1:9" s="5" customFormat="1" ht="22.15" customHeight="1">
      <c r="B10" s="8"/>
      <c r="C10" s="11"/>
    </row>
    <row r="11" spans="1:9" ht="22.15" customHeight="1">
      <c r="B11" s="12"/>
      <c r="C11" s="11"/>
      <c r="G11" s="5"/>
      <c r="I11" s="5"/>
    </row>
    <row r="12" spans="1:9" ht="22.15" customHeight="1">
      <c r="B12" s="8"/>
      <c r="C12" s="5"/>
      <c r="D12" s="8"/>
      <c r="E12" s="5"/>
      <c r="F12" s="8"/>
      <c r="G12" s="5"/>
      <c r="H12" s="8"/>
      <c r="I12" s="5"/>
    </row>
    <row r="13" spans="1:9" ht="22.15" customHeight="1">
      <c r="B13" s="8"/>
    </row>
    <row r="14" spans="1:9" ht="22.15" customHeight="1">
      <c r="B14" s="8"/>
    </row>
    <row r="15" spans="1:9" ht="22.15" customHeight="1">
      <c r="B15" s="8"/>
    </row>
    <row r="16" spans="1:9" ht="22.15" customHeight="1">
      <c r="B16" s="8"/>
    </row>
    <row r="17" spans="2:2" ht="22.15" customHeight="1">
      <c r="B17" s="8"/>
    </row>
    <row r="18" spans="2:2" ht="22.15" customHeight="1">
      <c r="B18" s="8"/>
    </row>
    <row r="19" spans="2:2" ht="22.15" customHeight="1">
      <c r="B19" s="8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王进利</cp:lastModifiedBy>
  <cp:lastPrinted>2020-05-27T01:56:24Z</cp:lastPrinted>
  <dcterms:created xsi:type="dcterms:W3CDTF">2006-09-16T00:00:00Z</dcterms:created>
  <dcterms:modified xsi:type="dcterms:W3CDTF">2020-06-04T12:18:34Z</dcterms:modified>
</cp:coreProperties>
</file>